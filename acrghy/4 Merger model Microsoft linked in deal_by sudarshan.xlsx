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uintedge\"/>
    </mc:Choice>
  </mc:AlternateContent>
  <xr:revisionPtr revIDLastSave="0" documentId="13_ncr:1_{FB00E3D0-0E1C-40C7-A78C-E0E0989D0ABE}" xr6:coauthVersionLast="36" xr6:coauthVersionMax="36" xr10:uidLastSave="{00000000-0000-0000-0000-000000000000}"/>
  <bookViews>
    <workbookView xWindow="0" yWindow="0" windowWidth="20490" windowHeight="8940" xr2:uid="{73E6CF9B-E695-4151-B863-931BE5B60F16}"/>
  </bookViews>
  <sheets>
    <sheet name="Que of the assignment" sheetId="10" r:id="rId1"/>
    <sheet name="Introduction" sheetId="13" r:id="rId2"/>
    <sheet name="Synergies" sheetId="14" r:id="rId3"/>
    <sheet name="Microsoft  acquirer" sheetId="4" r:id="rId4"/>
    <sheet name="Linked in Target" sheetId="5" r:id="rId5"/>
    <sheet name="Merger Model" sheetId="1" r:id="rId6"/>
    <sheet name="Combine balance sheet" sheetId="3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5" i="3" l="1"/>
  <c r="H55" i="3"/>
  <c r="G55" i="3"/>
  <c r="F31" i="4" l="1"/>
  <c r="D19" i="4"/>
  <c r="D22" i="4"/>
  <c r="G31" i="4" l="1"/>
  <c r="H31" i="4" s="1"/>
  <c r="I31" i="4" s="1"/>
  <c r="J31" i="4" s="1"/>
  <c r="K31" i="4" s="1"/>
  <c r="L31" i="4" s="1"/>
  <c r="J107" i="1"/>
  <c r="L107" i="1"/>
  <c r="M107" i="1" s="1"/>
  <c r="N107" i="1" s="1"/>
  <c r="N67" i="1" l="1"/>
  <c r="M67" i="1"/>
  <c r="L67" i="1"/>
  <c r="K67" i="1"/>
  <c r="J67" i="1"/>
  <c r="N88" i="1" l="1"/>
  <c r="M88" i="1"/>
  <c r="L88" i="1"/>
  <c r="K88" i="1"/>
  <c r="J88" i="1"/>
  <c r="J62" i="1"/>
  <c r="L62" i="1"/>
  <c r="M62" i="1" s="1"/>
  <c r="N62" i="1" s="1"/>
  <c r="G52" i="3" l="1"/>
  <c r="J52" i="3" s="1"/>
  <c r="J48" i="3"/>
  <c r="J46" i="3"/>
  <c r="G45" i="3"/>
  <c r="K50" i="1"/>
  <c r="K59" i="1" s="1"/>
  <c r="F57" i="1" s="1"/>
  <c r="H45" i="3" s="1"/>
  <c r="J40" i="3"/>
  <c r="J39" i="3"/>
  <c r="J38" i="3"/>
  <c r="J37" i="3"/>
  <c r="J36" i="3"/>
  <c r="J35" i="3"/>
  <c r="J34" i="3"/>
  <c r="J33" i="3"/>
  <c r="J32" i="3"/>
  <c r="J27" i="3"/>
  <c r="J26" i="3"/>
  <c r="J25" i="3"/>
  <c r="J19" i="3"/>
  <c r="J18" i="3"/>
  <c r="J17" i="3"/>
  <c r="J16" i="3"/>
  <c r="F55" i="1"/>
  <c r="F41" i="3"/>
  <c r="E41" i="3"/>
  <c r="E49" i="3" s="1"/>
  <c r="F20" i="3"/>
  <c r="F28" i="3" s="1"/>
  <c r="E20" i="3"/>
  <c r="E28" i="3" s="1"/>
  <c r="J41" i="3" l="1"/>
  <c r="J45" i="3"/>
  <c r="F49" i="3"/>
  <c r="F54" i="3" s="1"/>
  <c r="J20" i="3"/>
  <c r="H47" i="3"/>
  <c r="J47" i="3" s="1"/>
  <c r="K89" i="1"/>
  <c r="L89" i="1"/>
  <c r="N89" i="1"/>
  <c r="J89" i="1"/>
  <c r="M89" i="1"/>
  <c r="J28" i="3"/>
  <c r="E54" i="3"/>
  <c r="G23" i="3"/>
  <c r="J23" i="3" s="1"/>
  <c r="J54" i="3" l="1"/>
  <c r="E55" i="3"/>
  <c r="J49" i="3"/>
  <c r="L25" i="1"/>
  <c r="L26" i="1" s="1"/>
  <c r="L27" i="1" s="1"/>
  <c r="L28" i="1" s="1"/>
  <c r="J15" i="3" l="1"/>
  <c r="F50" i="1" l="1"/>
  <c r="F51" i="1"/>
  <c r="F54" i="1" l="1"/>
  <c r="E44" i="1"/>
  <c r="I120" i="5" l="1"/>
  <c r="I125" i="5" s="1"/>
  <c r="I130" i="5" s="1"/>
  <c r="H120" i="5"/>
  <c r="H125" i="5" s="1"/>
  <c r="H130" i="5" s="1"/>
  <c r="G120" i="5"/>
  <c r="G125" i="5" s="1"/>
  <c r="G130" i="5" s="1"/>
  <c r="H113" i="5"/>
  <c r="I107" i="5"/>
  <c r="I113" i="5" s="1"/>
  <c r="H107" i="5"/>
  <c r="G107" i="5"/>
  <c r="G113" i="5" s="1"/>
  <c r="H97" i="5"/>
  <c r="I97" i="5" s="1"/>
  <c r="J97" i="5" s="1"/>
  <c r="K97" i="5" s="1"/>
  <c r="L97" i="5" s="1"/>
  <c r="M97" i="5" s="1"/>
  <c r="N97" i="5" s="1"/>
  <c r="E42" i="1"/>
  <c r="O13" i="1"/>
  <c r="P15" i="1"/>
  <c r="P14" i="1"/>
  <c r="Q14" i="1" s="1"/>
  <c r="P13" i="1"/>
  <c r="Q13" i="1" l="1"/>
  <c r="G21" i="1"/>
  <c r="G22" i="1" s="1"/>
  <c r="I74" i="5"/>
  <c r="H74" i="5"/>
  <c r="G74" i="5"/>
  <c r="H81" i="5"/>
  <c r="I81" i="5" s="1"/>
  <c r="J81" i="5" s="1"/>
  <c r="K81" i="5" s="1"/>
  <c r="L81" i="5" s="1"/>
  <c r="M81" i="5" s="1"/>
  <c r="N81" i="5" s="1"/>
  <c r="I73" i="5"/>
  <c r="H73" i="5"/>
  <c r="G73" i="5"/>
  <c r="I72" i="5"/>
  <c r="H72" i="5"/>
  <c r="G72" i="5"/>
  <c r="I71" i="5"/>
  <c r="H71" i="5"/>
  <c r="G71" i="5"/>
  <c r="I70" i="5"/>
  <c r="H70" i="5"/>
  <c r="G70" i="5"/>
  <c r="I69" i="5"/>
  <c r="H69" i="5"/>
  <c r="G69" i="5"/>
  <c r="F38" i="5"/>
  <c r="H67" i="5"/>
  <c r="I67" i="5" s="1"/>
  <c r="J67" i="5" s="1"/>
  <c r="K67" i="5" s="1"/>
  <c r="L67" i="5" s="1"/>
  <c r="M67" i="5" s="1"/>
  <c r="N67" i="5" s="1"/>
  <c r="I50" i="5"/>
  <c r="I76" i="5" s="1"/>
  <c r="H50" i="5"/>
  <c r="H76" i="5" s="1"/>
  <c r="G50" i="5"/>
  <c r="G76" i="5" s="1"/>
  <c r="I44" i="5"/>
  <c r="H44" i="5"/>
  <c r="G44" i="5"/>
  <c r="I38" i="5"/>
  <c r="I87" i="5" s="1"/>
  <c r="H38" i="5"/>
  <c r="H87" i="5" s="1"/>
  <c r="G38" i="5"/>
  <c r="G87" i="5" s="1"/>
  <c r="I45" i="5" l="1"/>
  <c r="I83" i="5" s="1"/>
  <c r="J71" i="5"/>
  <c r="J72" i="5"/>
  <c r="K72" i="5" s="1"/>
  <c r="J73" i="5"/>
  <c r="K73" i="5" s="1"/>
  <c r="L73" i="5" s="1"/>
  <c r="J74" i="5"/>
  <c r="K74" i="5" s="1"/>
  <c r="J69" i="5"/>
  <c r="J36" i="5" s="1"/>
  <c r="H45" i="5"/>
  <c r="H83" i="5" s="1"/>
  <c r="H88" i="5" s="1"/>
  <c r="I85" i="5"/>
  <c r="I89" i="5" s="1"/>
  <c r="I88" i="5"/>
  <c r="K71" i="5"/>
  <c r="L71" i="5" s="1"/>
  <c r="I52" i="5"/>
  <c r="I54" i="5" s="1"/>
  <c r="I63" i="5" s="1"/>
  <c r="J70" i="5"/>
  <c r="G45" i="5"/>
  <c r="L72" i="5" l="1"/>
  <c r="I75" i="5"/>
  <c r="J41" i="5"/>
  <c r="J37" i="5"/>
  <c r="J70" i="1" s="1"/>
  <c r="J65" i="1"/>
  <c r="J43" i="5"/>
  <c r="J84" i="5"/>
  <c r="J81" i="1" s="1"/>
  <c r="H85" i="5"/>
  <c r="H89" i="5" s="1"/>
  <c r="K70" i="5"/>
  <c r="L70" i="5" s="1"/>
  <c r="M70" i="5" s="1"/>
  <c r="N70" i="5" s="1"/>
  <c r="H52" i="5"/>
  <c r="J40" i="5"/>
  <c r="K69" i="5"/>
  <c r="K36" i="5" s="1"/>
  <c r="J42" i="5"/>
  <c r="L74" i="5"/>
  <c r="M73" i="5"/>
  <c r="N73" i="5" s="1"/>
  <c r="I57" i="5"/>
  <c r="I90" i="5"/>
  <c r="I62" i="5"/>
  <c r="G83" i="5"/>
  <c r="G52" i="5"/>
  <c r="J50" i="5"/>
  <c r="M72" i="5"/>
  <c r="N72" i="5" s="1"/>
  <c r="M71" i="5"/>
  <c r="N71" i="5" s="1"/>
  <c r="J44" i="5" l="1"/>
  <c r="J77" i="1"/>
  <c r="K43" i="5"/>
  <c r="K65" i="1"/>
  <c r="J38" i="5"/>
  <c r="J87" i="5" s="1"/>
  <c r="K41" i="5"/>
  <c r="K42" i="5"/>
  <c r="K40" i="5"/>
  <c r="K37" i="5"/>
  <c r="H54" i="5"/>
  <c r="H75" i="5"/>
  <c r="K84" i="5"/>
  <c r="K81" i="1" s="1"/>
  <c r="L69" i="5"/>
  <c r="M74" i="5"/>
  <c r="N74" i="5" s="1"/>
  <c r="G85" i="5"/>
  <c r="G89" i="5" s="1"/>
  <c r="G88" i="5"/>
  <c r="G54" i="5"/>
  <c r="G75" i="5"/>
  <c r="K50" i="5"/>
  <c r="J45" i="5" l="1"/>
  <c r="J83" i="5" s="1"/>
  <c r="J85" i="5" s="1"/>
  <c r="J89" i="5" s="1"/>
  <c r="K38" i="5"/>
  <c r="K87" i="5" s="1"/>
  <c r="K70" i="1"/>
  <c r="K77" i="1"/>
  <c r="K44" i="5"/>
  <c r="K45" i="5" s="1"/>
  <c r="K83" i="5" s="1"/>
  <c r="K88" i="5" s="1"/>
  <c r="M69" i="5"/>
  <c r="N69" i="5" s="1"/>
  <c r="L36" i="5"/>
  <c r="H57" i="5"/>
  <c r="H63" i="5"/>
  <c r="H62" i="5"/>
  <c r="H90" i="5"/>
  <c r="G62" i="5"/>
  <c r="G90" i="5"/>
  <c r="G63" i="5"/>
  <c r="G57" i="5"/>
  <c r="J52" i="5" l="1"/>
  <c r="J53" i="5" s="1"/>
  <c r="J54" i="5" s="1"/>
  <c r="J57" i="5" s="1"/>
  <c r="J88" i="5"/>
  <c r="L50" i="5"/>
  <c r="L65" i="1"/>
  <c r="J62" i="5"/>
  <c r="J63" i="5"/>
  <c r="J90" i="5"/>
  <c r="K85" i="5"/>
  <c r="K89" i="5" s="1"/>
  <c r="K52" i="5"/>
  <c r="K53" i="5" s="1"/>
  <c r="K54" i="5" s="1"/>
  <c r="K57" i="5" s="1"/>
  <c r="L41" i="5"/>
  <c r="L37" i="5"/>
  <c r="M36" i="5"/>
  <c r="M65" i="1" s="1"/>
  <c r="L42" i="5"/>
  <c r="L84" i="5"/>
  <c r="L81" i="1" s="1"/>
  <c r="L40" i="5"/>
  <c r="L43" i="5"/>
  <c r="L38" i="5" l="1"/>
  <c r="L87" i="5" s="1"/>
  <c r="L70" i="1"/>
  <c r="L77" i="1"/>
  <c r="K90" i="5"/>
  <c r="K62" i="5"/>
  <c r="K63" i="5"/>
  <c r="L44" i="5"/>
  <c r="L45" i="5" s="1"/>
  <c r="M84" i="5"/>
  <c r="M81" i="1" s="1"/>
  <c r="N36" i="5"/>
  <c r="M42" i="5"/>
  <c r="M40" i="5"/>
  <c r="M43" i="5"/>
  <c r="M41" i="5"/>
  <c r="M37" i="5"/>
  <c r="M50" i="5"/>
  <c r="M38" i="5" l="1"/>
  <c r="M70" i="1"/>
  <c r="N50" i="5"/>
  <c r="N65" i="1"/>
  <c r="M77" i="1"/>
  <c r="N84" i="5"/>
  <c r="N81" i="1" s="1"/>
  <c r="N40" i="5"/>
  <c r="N37" i="5"/>
  <c r="N43" i="5"/>
  <c r="N42" i="5"/>
  <c r="N41" i="5"/>
  <c r="M87" i="5"/>
  <c r="M44" i="5"/>
  <c r="M45" i="5" s="1"/>
  <c r="L83" i="5"/>
  <c r="L52" i="5"/>
  <c r="L53" i="5" s="1"/>
  <c r="L54" i="5" s="1"/>
  <c r="N38" i="5" l="1"/>
  <c r="N87" i="5" s="1"/>
  <c r="N70" i="1"/>
  <c r="N77" i="1"/>
  <c r="M83" i="5"/>
  <c r="M52" i="5"/>
  <c r="M53" i="5" s="1"/>
  <c r="M54" i="5" s="1"/>
  <c r="M57" i="5" s="1"/>
  <c r="N44" i="5"/>
  <c r="N45" i="5" s="1"/>
  <c r="L88" i="5"/>
  <c r="L85" i="5"/>
  <c r="L89" i="5" s="1"/>
  <c r="L62" i="5"/>
  <c r="L57" i="5"/>
  <c r="L90" i="5"/>
  <c r="L63" i="5"/>
  <c r="M62" i="5" l="1"/>
  <c r="M63" i="5"/>
  <c r="M90" i="5"/>
  <c r="N83" i="5"/>
  <c r="N52" i="5"/>
  <c r="N53" i="5" s="1"/>
  <c r="N54" i="5" s="1"/>
  <c r="M85" i="5"/>
  <c r="M89" i="5" s="1"/>
  <c r="M88" i="5"/>
  <c r="N63" i="5" l="1"/>
  <c r="N62" i="5"/>
  <c r="N57" i="5"/>
  <c r="N90" i="5"/>
  <c r="N88" i="5"/>
  <c r="N85" i="5"/>
  <c r="N89" i="5" s="1"/>
  <c r="H34" i="5" l="1"/>
  <c r="I34" i="5" s="1"/>
  <c r="J34" i="5" s="1"/>
  <c r="K34" i="5" s="1"/>
  <c r="L34" i="5" s="1"/>
  <c r="M34" i="5" s="1"/>
  <c r="N34" i="5" s="1"/>
  <c r="G68" i="4"/>
  <c r="F68" i="4"/>
  <c r="E68" i="4"/>
  <c r="G79" i="4"/>
  <c r="F79" i="4"/>
  <c r="E79" i="4"/>
  <c r="G75" i="4"/>
  <c r="G78" i="4" s="1"/>
  <c r="F75" i="4"/>
  <c r="F78" i="4" s="1"/>
  <c r="E75" i="4"/>
  <c r="E78" i="4" s="1"/>
  <c r="F71" i="4"/>
  <c r="G71" i="4" s="1"/>
  <c r="H71" i="4" s="1"/>
  <c r="I71" i="4" s="1"/>
  <c r="J71" i="4" s="1"/>
  <c r="K71" i="4" s="1"/>
  <c r="L71" i="4" s="1"/>
  <c r="H54" i="4"/>
  <c r="I54" i="4" s="1"/>
  <c r="H53" i="4"/>
  <c r="I53" i="4" s="1"/>
  <c r="J53" i="4" s="1"/>
  <c r="K53" i="4" s="1"/>
  <c r="L53" i="4" s="1"/>
  <c r="H33" i="4"/>
  <c r="G65" i="4"/>
  <c r="F65" i="4"/>
  <c r="E65" i="4"/>
  <c r="G64" i="4"/>
  <c r="F64" i="4"/>
  <c r="E64" i="4"/>
  <c r="G63" i="4"/>
  <c r="F63" i="4"/>
  <c r="E63" i="4"/>
  <c r="G62" i="4"/>
  <c r="F62" i="4"/>
  <c r="E62" i="4"/>
  <c r="G61" i="4"/>
  <c r="F61" i="4"/>
  <c r="E61" i="4"/>
  <c r="D35" i="4"/>
  <c r="F59" i="4"/>
  <c r="G59" i="4" l="1"/>
  <c r="H59" i="4" s="1"/>
  <c r="I59" i="4" s="1"/>
  <c r="J59" i="4" s="1"/>
  <c r="K59" i="4" s="1"/>
  <c r="L59" i="4" s="1"/>
  <c r="H68" i="4"/>
  <c r="I68" i="4" s="1"/>
  <c r="J68" i="4" s="1"/>
  <c r="H62" i="4"/>
  <c r="I62" i="4" s="1"/>
  <c r="J62" i="4" s="1"/>
  <c r="J63" i="4"/>
  <c r="H65" i="4"/>
  <c r="H39" i="4" s="1"/>
  <c r="H74" i="4"/>
  <c r="J80" i="1" s="1"/>
  <c r="H64" i="4"/>
  <c r="I64" i="4" s="1"/>
  <c r="J64" i="4" s="1"/>
  <c r="K64" i="4" s="1"/>
  <c r="L64" i="4" s="1"/>
  <c r="I63" i="4"/>
  <c r="K63" i="4"/>
  <c r="H63" i="4"/>
  <c r="H37" i="4" s="1"/>
  <c r="L63" i="4"/>
  <c r="I33" i="4"/>
  <c r="K64" i="1" s="1"/>
  <c r="J64" i="1"/>
  <c r="J54" i="4"/>
  <c r="J102" i="1" s="1"/>
  <c r="H34" i="4" l="1"/>
  <c r="I65" i="4"/>
  <c r="J65" i="4" s="1"/>
  <c r="J33" i="4"/>
  <c r="L64" i="1" s="1"/>
  <c r="H38" i="4"/>
  <c r="J76" i="1" s="1"/>
  <c r="J79" i="1" s="1"/>
  <c r="J82" i="1" s="1"/>
  <c r="H35" i="4"/>
  <c r="H77" i="4" s="1"/>
  <c r="J69" i="1"/>
  <c r="J72" i="1" s="1"/>
  <c r="J74" i="1" s="1"/>
  <c r="K68" i="4"/>
  <c r="I74" i="4"/>
  <c r="K80" i="1" s="1"/>
  <c r="K54" i="4"/>
  <c r="K102" i="1" s="1"/>
  <c r="I39" i="4"/>
  <c r="I34" i="4"/>
  <c r="I38" i="4"/>
  <c r="I37" i="4"/>
  <c r="K65" i="4"/>
  <c r="L65" i="4" s="1"/>
  <c r="K62" i="4"/>
  <c r="L62" i="4" s="1"/>
  <c r="J84" i="1" l="1"/>
  <c r="J91" i="1" s="1"/>
  <c r="J74" i="4"/>
  <c r="L80" i="1" s="1"/>
  <c r="H41" i="4"/>
  <c r="H73" i="4" s="1"/>
  <c r="H75" i="4" s="1"/>
  <c r="H78" i="4" s="1"/>
  <c r="I35" i="4"/>
  <c r="I77" i="4" s="1"/>
  <c r="K69" i="1"/>
  <c r="K72" i="1" s="1"/>
  <c r="K74" i="1" s="1"/>
  <c r="L54" i="4"/>
  <c r="L68" i="4"/>
  <c r="K76" i="1"/>
  <c r="K79" i="1" s="1"/>
  <c r="K82" i="1" s="1"/>
  <c r="K33" i="4"/>
  <c r="K74" i="4" s="1"/>
  <c r="M80" i="1" s="1"/>
  <c r="J38" i="4"/>
  <c r="J39" i="4"/>
  <c r="J34" i="4"/>
  <c r="J37" i="4"/>
  <c r="I41" i="4" l="1"/>
  <c r="I73" i="4" s="1"/>
  <c r="H79" i="4"/>
  <c r="K84" i="1"/>
  <c r="K91" i="1" s="1"/>
  <c r="L102" i="1"/>
  <c r="M102" i="1" s="1"/>
  <c r="L76" i="1"/>
  <c r="L79" i="1" s="1"/>
  <c r="L82" i="1" s="1"/>
  <c r="L33" i="4"/>
  <c r="N64" i="1" s="1"/>
  <c r="M64" i="1"/>
  <c r="J35" i="4"/>
  <c r="J77" i="4" s="1"/>
  <c r="L69" i="1"/>
  <c r="L72" i="1" s="1"/>
  <c r="L74" i="1" s="1"/>
  <c r="I75" i="4"/>
  <c r="I78" i="4" s="1"/>
  <c r="I79" i="4"/>
  <c r="K37" i="4"/>
  <c r="K38" i="4"/>
  <c r="K39" i="4"/>
  <c r="K34" i="4"/>
  <c r="L84" i="1" l="1"/>
  <c r="L91" i="1" s="1"/>
  <c r="L74" i="4"/>
  <c r="N80" i="1" s="1"/>
  <c r="M76" i="1"/>
  <c r="M79" i="1" s="1"/>
  <c r="M82" i="1" s="1"/>
  <c r="J41" i="4"/>
  <c r="J73" i="4" s="1"/>
  <c r="J75" i="4" s="1"/>
  <c r="J78" i="4" s="1"/>
  <c r="K35" i="4"/>
  <c r="K77" i="4" s="1"/>
  <c r="M69" i="1"/>
  <c r="M72" i="1" s="1"/>
  <c r="M74" i="1" s="1"/>
  <c r="L37" i="4"/>
  <c r="L39" i="4"/>
  <c r="L34" i="4"/>
  <c r="L38" i="4"/>
  <c r="J79" i="4" l="1"/>
  <c r="M84" i="1"/>
  <c r="M91" i="1" s="1"/>
  <c r="N76" i="1"/>
  <c r="N79" i="1" s="1"/>
  <c r="N82" i="1" s="1"/>
  <c r="K41" i="4"/>
  <c r="K73" i="4" s="1"/>
  <c r="L35" i="4"/>
  <c r="L77" i="4" s="1"/>
  <c r="N69" i="1"/>
  <c r="N72" i="1" s="1"/>
  <c r="N74" i="1" s="1"/>
  <c r="N84" i="1" l="1"/>
  <c r="N91" i="1" s="1"/>
  <c r="L41" i="4"/>
  <c r="L73" i="4" s="1"/>
  <c r="L75" i="4" s="1"/>
  <c r="L78" i="4" s="1"/>
  <c r="K75" i="4"/>
  <c r="K78" i="4" s="1"/>
  <c r="K79" i="4"/>
  <c r="L79" i="4" l="1"/>
  <c r="G126" i="4"/>
  <c r="F126" i="4"/>
  <c r="E126" i="4"/>
  <c r="G113" i="4"/>
  <c r="G119" i="4" s="1"/>
  <c r="F113" i="4"/>
  <c r="F119" i="4" s="1"/>
  <c r="E113" i="4"/>
  <c r="E119" i="4" s="1"/>
  <c r="G94" i="4"/>
  <c r="G101" i="4" s="1"/>
  <c r="F94" i="4"/>
  <c r="F101" i="4" s="1"/>
  <c r="E94" i="4"/>
  <c r="E101" i="4" s="1"/>
  <c r="F84" i="4"/>
  <c r="G84" i="4" s="1"/>
  <c r="H84" i="4" s="1"/>
  <c r="I84" i="4" s="1"/>
  <c r="J84" i="4" s="1"/>
  <c r="K84" i="4" s="1"/>
  <c r="L84" i="4" s="1"/>
  <c r="G35" i="4"/>
  <c r="F35" i="4"/>
  <c r="E35" i="4"/>
  <c r="E77" i="4" s="1"/>
  <c r="G41" i="4" l="1"/>
  <c r="G44" i="4" s="1"/>
  <c r="G77" i="4"/>
  <c r="F41" i="4"/>
  <c r="F77" i="4"/>
  <c r="F128" i="4"/>
  <c r="F129" i="4" s="1"/>
  <c r="G67" i="4"/>
  <c r="E41" i="4"/>
  <c r="E128" i="4"/>
  <c r="E129" i="4" s="1"/>
  <c r="G128" i="4"/>
  <c r="G129" i="4" s="1"/>
  <c r="L30" i="5"/>
  <c r="M17" i="5"/>
  <c r="M18" i="5" s="1"/>
  <c r="M19" i="5" s="1"/>
  <c r="M20" i="5" s="1"/>
  <c r="M21" i="5" s="1"/>
  <c r="M22" i="5" s="1"/>
  <c r="M23" i="5" s="1"/>
  <c r="L14" i="5"/>
  <c r="L13" i="5"/>
  <c r="J14" i="5"/>
  <c r="J15" i="5" s="1"/>
  <c r="J16" i="5" s="1"/>
  <c r="J17" i="5" s="1"/>
  <c r="J18" i="5" s="1"/>
  <c r="J19" i="5" s="1"/>
  <c r="J20" i="5" s="1"/>
  <c r="J21" i="5" s="1"/>
  <c r="J22" i="5" s="1"/>
  <c r="J23" i="5" s="1"/>
  <c r="F26" i="5"/>
  <c r="F23" i="5"/>
  <c r="L29" i="5" s="1"/>
  <c r="F44" i="4" l="1"/>
  <c r="F67" i="4"/>
  <c r="E44" i="4"/>
  <c r="E67" i="4"/>
  <c r="L31" i="5"/>
  <c r="L26" i="5" s="1"/>
  <c r="L27" i="5" s="1"/>
  <c r="F24" i="5" s="1"/>
  <c r="G46" i="4"/>
  <c r="G66" i="4"/>
  <c r="F22" i="5"/>
  <c r="F21" i="5"/>
  <c r="F17" i="5"/>
  <c r="F16" i="5"/>
  <c r="F20" i="5" l="1"/>
  <c r="G27" i="1" s="1"/>
  <c r="G25" i="1"/>
  <c r="H67" i="4"/>
  <c r="H42" i="4" s="1"/>
  <c r="H44" i="4" s="1"/>
  <c r="G49" i="4"/>
  <c r="G80" i="4"/>
  <c r="G50" i="4"/>
  <c r="Q15" i="1" s="1"/>
  <c r="E46" i="4"/>
  <c r="E66" i="4"/>
  <c r="F46" i="4"/>
  <c r="F66" i="4"/>
  <c r="I26" i="4"/>
  <c r="F28" i="5" l="1"/>
  <c r="G28" i="1" s="1"/>
  <c r="F49" i="1"/>
  <c r="L40" i="1"/>
  <c r="L41" i="1" s="1"/>
  <c r="N14" i="1"/>
  <c r="N13" i="1"/>
  <c r="E40" i="1" s="1"/>
  <c r="I67" i="4"/>
  <c r="L66" i="4"/>
  <c r="H66" i="4"/>
  <c r="H45" i="4" s="1"/>
  <c r="H46" i="4" s="1"/>
  <c r="H80" i="4" s="1"/>
  <c r="I66" i="4"/>
  <c r="J66" i="4"/>
  <c r="E49" i="4"/>
  <c r="E50" i="4"/>
  <c r="E80" i="4"/>
  <c r="K66" i="4"/>
  <c r="F49" i="4"/>
  <c r="F80" i="4"/>
  <c r="F50" i="4"/>
  <c r="J67" i="4"/>
  <c r="J42" i="4" s="1"/>
  <c r="J44" i="4" s="1"/>
  <c r="I42" i="4"/>
  <c r="I44" i="4" s="1"/>
  <c r="H23" i="4"/>
  <c r="H24" i="4" s="1"/>
  <c r="D23" i="4" s="1"/>
  <c r="D27" i="4" s="1"/>
  <c r="I28" i="4"/>
  <c r="I18" i="4"/>
  <c r="I19" i="4" s="1"/>
  <c r="I20" i="4" s="1"/>
  <c r="I21" i="4" s="1"/>
  <c r="G14" i="4"/>
  <c r="G15" i="4" s="1"/>
  <c r="G16" i="4" s="1"/>
  <c r="G17" i="4" s="1"/>
  <c r="G18" i="4" s="1"/>
  <c r="G19" i="4" s="1"/>
  <c r="G20" i="4" s="1"/>
  <c r="G21" i="4" s="1"/>
  <c r="K94" i="1" l="1"/>
  <c r="N24" i="1"/>
  <c r="J93" i="1" s="1" a="1"/>
  <c r="J93" i="1" s="1"/>
  <c r="M94" i="1"/>
  <c r="J94" i="1"/>
  <c r="E41" i="1"/>
  <c r="J108" i="1" s="1"/>
  <c r="H44" i="3"/>
  <c r="J44" i="3" s="1"/>
  <c r="N94" i="1"/>
  <c r="L42" i="1"/>
  <c r="L94" i="1"/>
  <c r="J23" i="1"/>
  <c r="F52" i="1"/>
  <c r="Q17" i="1"/>
  <c r="H50" i="4"/>
  <c r="J104" i="1" s="1"/>
  <c r="H49" i="4"/>
  <c r="I45" i="4"/>
  <c r="I46" i="4" s="1"/>
  <c r="I80" i="4" s="1"/>
  <c r="K67" i="4"/>
  <c r="K42" i="4" s="1"/>
  <c r="K44" i="4" s="1"/>
  <c r="K45" i="4" s="1"/>
  <c r="K46" i="4" s="1"/>
  <c r="J45" i="4"/>
  <c r="J46" i="4" s="1"/>
  <c r="J80" i="4" s="1"/>
  <c r="E43" i="1" l="1"/>
  <c r="N95" i="1" s="1"/>
  <c r="M95" i="1"/>
  <c r="K95" i="1"/>
  <c r="M28" i="1"/>
  <c r="M25" i="1"/>
  <c r="M27" i="1"/>
  <c r="M24" i="1"/>
  <c r="O24" i="1" s="1"/>
  <c r="M26" i="1"/>
  <c r="K55" i="1"/>
  <c r="F58" i="1"/>
  <c r="G24" i="3" s="1"/>
  <c r="J24" i="3" s="1"/>
  <c r="L67" i="4"/>
  <c r="L42" i="4" s="1"/>
  <c r="L44" i="4" s="1"/>
  <c r="L45" i="4" s="1"/>
  <c r="L46" i="4" s="1"/>
  <c r="L50" i="4" s="1"/>
  <c r="N104" i="1" s="1"/>
  <c r="I49" i="4"/>
  <c r="I50" i="4"/>
  <c r="K104" i="1" s="1"/>
  <c r="J49" i="4"/>
  <c r="J50" i="4"/>
  <c r="L104" i="1" s="1"/>
  <c r="K80" i="4"/>
  <c r="K50" i="4"/>
  <c r="M104" i="1" s="1"/>
  <c r="K49" i="4"/>
  <c r="L80" i="4"/>
  <c r="J95" i="1" l="1"/>
  <c r="J96" i="1" s="1"/>
  <c r="J97" i="1" s="1"/>
  <c r="J98" i="1" s="1"/>
  <c r="J100" i="1" s="1"/>
  <c r="J103" i="1" s="1"/>
  <c r="J105" i="1" s="1"/>
  <c r="H14" i="3"/>
  <c r="J14" i="3" s="1"/>
  <c r="L95" i="1"/>
  <c r="J110" i="1" a="1"/>
  <c r="J110" i="1" s="1"/>
  <c r="J111" i="1" s="1"/>
  <c r="K108" i="1" s="1"/>
  <c r="P24" i="1"/>
  <c r="L49" i="4"/>
  <c r="N25" i="1" l="1"/>
  <c r="K93" i="1" l="1" a="1"/>
  <c r="K93" i="1" s="1"/>
  <c r="K96" i="1" s="1"/>
  <c r="K97" i="1" s="1"/>
  <c r="K98" i="1" s="1"/>
  <c r="K100" i="1" s="1"/>
  <c r="K103" i="1" s="1"/>
  <c r="K105" i="1" s="1"/>
  <c r="O25" i="1"/>
  <c r="K110" i="1" l="1" a="1"/>
  <c r="K110" i="1" s="1"/>
  <c r="K111" i="1" s="1"/>
  <c r="L108" i="1" s="1"/>
  <c r="P25" i="1"/>
  <c r="N26" i="1" l="1"/>
  <c r="L93" i="1" l="1" a="1"/>
  <c r="L93" i="1" s="1"/>
  <c r="L96" i="1" s="1"/>
  <c r="L97" i="1" s="1"/>
  <c r="L98" i="1" s="1"/>
  <c r="L100" i="1" s="1"/>
  <c r="L103" i="1" s="1"/>
  <c r="L105" i="1" s="1"/>
  <c r="O26" i="1"/>
  <c r="L110" i="1" l="1" a="1"/>
  <c r="L110" i="1" s="1"/>
  <c r="L111" i="1" s="1"/>
  <c r="M108" i="1" s="1"/>
  <c r="P26" i="1"/>
  <c r="N27" i="1" l="1"/>
  <c r="O27" i="1" l="1"/>
  <c r="M93" i="1" a="1"/>
  <c r="M93" i="1" s="1"/>
  <c r="M96" i="1" s="1"/>
  <c r="M97" i="1" s="1"/>
  <c r="M98" i="1" s="1"/>
  <c r="M100" i="1" s="1"/>
  <c r="M103" i="1" l="1"/>
  <c r="M105" i="1" s="1"/>
  <c r="M110" i="1" a="1"/>
  <c r="M110" i="1" s="1"/>
  <c r="M111" i="1" s="1"/>
  <c r="N108" i="1" s="1"/>
  <c r="P27" i="1"/>
  <c r="N28" i="1" l="1"/>
  <c r="N93" i="1" l="1" a="1"/>
  <c r="N93" i="1" s="1"/>
  <c r="N96" i="1" s="1"/>
  <c r="N97" i="1" s="1"/>
  <c r="N98" i="1" s="1"/>
  <c r="N100" i="1" s="1"/>
  <c r="N103" i="1" s="1"/>
  <c r="N105" i="1" s="1"/>
  <c r="O28" i="1"/>
  <c r="N110" i="1" l="1" a="1"/>
  <c r="N110" i="1" s="1"/>
  <c r="N111" i="1" s="1"/>
  <c r="P28" i="1"/>
</calcChain>
</file>

<file path=xl/sharedStrings.xml><?xml version="1.0" encoding="utf-8"?>
<sst xmlns="http://schemas.openxmlformats.org/spreadsheetml/2006/main" count="570" uniqueCount="396">
  <si>
    <t>Assignment Question:   Merger Model for LinkedIn and Microsoft Deal</t>
  </si>
  <si>
    <t>Objective:</t>
  </si>
  <si>
    <t>Candidates are required to prepare a detailed merger model for the acquisition of LinkedIn by Microsoft, which was announced on June 13, 2016. The model should incorporate both qualitative and quantitative analysis to provide a comprehensive overview of the deal.</t>
  </si>
  <si>
    <t>Instructions:</t>
  </si>
  <si>
    <t>1. Introduction:</t>
  </si>
  <si>
    <t>Provide a brief introduction to LinkedIn and Microsoft.</t>
  </si>
  <si>
    <t>Outline the strategic rationale behind the merger.</t>
  </si>
  <si>
    <t>Mention the key terms of the deal, including the acquisition price and method of payment.</t>
  </si>
  <si>
    <t>2. Historical Financial Analysis:</t>
  </si>
  <si>
    <t>Analyze the historical financial statements of both companies for the past three years.</t>
  </si>
  <si>
    <t>Include income statements, balance sheets, and cash flow statements.</t>
  </si>
  <si>
    <t>Calculate key financial ratios and metrics to understand the financial health and performance pre-merger.</t>
  </si>
  <si>
    <t>Identify and quantify the potential revenue and cost synergies from the merger.</t>
  </si>
  <si>
    <t>Discuss the sources of these synergies and the timeline for their realization.</t>
  </si>
  <si>
    <t>Evaluate the impact of synergies on the combined entity’s financials.</t>
  </si>
  <si>
    <t>3. Pro Forma Financial Statements:</t>
  </si>
  <si>
    <t>Prepare pro forma income statements, balance sheets, and cash flow statements for the combined entity for the next five years.</t>
  </si>
  <si>
    <t>Include the impact of synergies and the financing structure of the deal.</t>
  </si>
  <si>
    <t>Calculate the accretion/dilution to Microsoft’s earnings per share (EPS) post-merger.</t>
  </si>
  <si>
    <t>4. Deal Financing:</t>
  </si>
  <si>
    <t>Describe the financing structure of the deal (e.g., cash, debt, equity).</t>
  </si>
  <si>
    <t>Analyze the impact of the chosen financing method on Microsoft’s capital structure and credit ratings.</t>
  </si>
  <si>
    <t>Deliverables:</t>
  </si>
  <si>
    <t>An Excel model with all calculations and financial statements.</t>
  </si>
  <si>
    <t>Transacation assumptions</t>
  </si>
  <si>
    <t>Unaffected share price</t>
  </si>
  <si>
    <t>Premium</t>
  </si>
  <si>
    <t>Latest Financials available</t>
  </si>
  <si>
    <t>Tax rate</t>
  </si>
  <si>
    <t xml:space="preserve">Basic shares outstaning </t>
  </si>
  <si>
    <t>Dilutive shares outstanding</t>
  </si>
  <si>
    <t>Equity value on date on transaction</t>
  </si>
  <si>
    <t>Less: Cash</t>
  </si>
  <si>
    <t>Less: Investments</t>
  </si>
  <si>
    <t>Add: Debt</t>
  </si>
  <si>
    <t>Add: Capitalisation of lease</t>
  </si>
  <si>
    <t>Add: Preference shares</t>
  </si>
  <si>
    <t>Add: NCI</t>
  </si>
  <si>
    <t>Add: Unfunded pension obligation</t>
  </si>
  <si>
    <t>Enterprise value</t>
  </si>
  <si>
    <t>Transaction date share price</t>
  </si>
  <si>
    <t>Acquirer details</t>
  </si>
  <si>
    <t xml:space="preserve"> </t>
  </si>
  <si>
    <t xml:space="preserve">  </t>
  </si>
  <si>
    <t>Historical</t>
  </si>
  <si>
    <t>Acquirers Income Statement</t>
  </si>
  <si>
    <t>Projection</t>
  </si>
  <si>
    <t>Premium %</t>
  </si>
  <si>
    <t>Capitalisation of Lease</t>
  </si>
  <si>
    <t>lease committed</t>
  </si>
  <si>
    <t>Amount</t>
  </si>
  <si>
    <t>cost of debt</t>
  </si>
  <si>
    <t>total debt</t>
  </si>
  <si>
    <t xml:space="preserve">Interest expense </t>
  </si>
  <si>
    <t>PV of lease obligation</t>
  </si>
  <si>
    <t>Targets Details</t>
  </si>
  <si>
    <t>Capitalisation of leases</t>
  </si>
  <si>
    <t>amount</t>
  </si>
  <si>
    <t>Cost of debt</t>
  </si>
  <si>
    <t>interest expense</t>
  </si>
  <si>
    <t>Revenue</t>
  </si>
  <si>
    <t>Cost of revenue</t>
  </si>
  <si>
    <t>Gross margin</t>
  </si>
  <si>
    <t>Research and development</t>
  </si>
  <si>
    <t>Sales and marketing</t>
  </si>
  <si>
    <t>General and administrative</t>
  </si>
  <si>
    <t>Impairment, integration, and restructuring</t>
  </si>
  <si>
    <t>Other income, net</t>
  </si>
  <si>
    <t>Income before income taxes</t>
  </si>
  <si>
    <t>Provision for income taxes</t>
  </si>
  <si>
    <t>Net income</t>
  </si>
  <si>
    <t>Earnings per share:</t>
  </si>
  <si>
    <t>Basic</t>
  </si>
  <si>
    <t>Diluted</t>
  </si>
  <si>
    <t>Operating income Ebit</t>
  </si>
  <si>
    <t>`</t>
  </si>
  <si>
    <t>Weighted average shares outstanding</t>
  </si>
  <si>
    <t>Cash dividend declared per common share</t>
  </si>
  <si>
    <t>Acquirers balance sheet</t>
  </si>
  <si>
    <t>Assets</t>
  </si>
  <si>
    <t>Current assets</t>
  </si>
  <si>
    <t>Cash &amp; cash equivalent</t>
  </si>
  <si>
    <t>Short term investments</t>
  </si>
  <si>
    <t>Accounts recievable</t>
  </si>
  <si>
    <t>Invnetories</t>
  </si>
  <si>
    <t>Deferred income tax</t>
  </si>
  <si>
    <t>Other</t>
  </si>
  <si>
    <t>Total current assets</t>
  </si>
  <si>
    <t>Property &amp; equipment</t>
  </si>
  <si>
    <t>Equity and other investments</t>
  </si>
  <si>
    <t>Goodwill</t>
  </si>
  <si>
    <t>Intangible assets,net</t>
  </si>
  <si>
    <t>Other long term assets</t>
  </si>
  <si>
    <t>Total assets</t>
  </si>
  <si>
    <t>Liabilities &amp; stockholders equity</t>
  </si>
  <si>
    <t>Current liabilities</t>
  </si>
  <si>
    <t>Accouunts payables</t>
  </si>
  <si>
    <t>Short term debt</t>
  </si>
  <si>
    <t>Current portion of long term debt</t>
  </si>
  <si>
    <t>Accrued compensation</t>
  </si>
  <si>
    <t>Income taxes</t>
  </si>
  <si>
    <t>Short term unearned revenue</t>
  </si>
  <si>
    <t>Securities lending payable</t>
  </si>
  <si>
    <t>Others</t>
  </si>
  <si>
    <t>Total current liabilities</t>
  </si>
  <si>
    <t>Long term debt</t>
  </si>
  <si>
    <t>Long term unearned revenue</t>
  </si>
  <si>
    <t>Deferred income taxes</t>
  </si>
  <si>
    <t>Other long term liabilities</t>
  </si>
  <si>
    <t>Total liabilities</t>
  </si>
  <si>
    <t>Commitment and contingencies</t>
  </si>
  <si>
    <t>Stockholders equity</t>
  </si>
  <si>
    <t>Common stock and paid in capital</t>
  </si>
  <si>
    <t>Retained earning</t>
  </si>
  <si>
    <t>Accumulated &amp; other comprehensive income</t>
  </si>
  <si>
    <t>Total stockholders equity</t>
  </si>
  <si>
    <t>Total liabilities &amp; stockholders equity</t>
  </si>
  <si>
    <t>Check</t>
  </si>
  <si>
    <t xml:space="preserve"> -   </t>
  </si>
  <si>
    <t>Income Statement Driver</t>
  </si>
  <si>
    <t>Sales growth rate</t>
  </si>
  <si>
    <t>Cost of revenue as % of sales</t>
  </si>
  <si>
    <t>Research and development as % of sales</t>
  </si>
  <si>
    <t>Sales and marketing as % of sales</t>
  </si>
  <si>
    <t>General and administrative as % of sales</t>
  </si>
  <si>
    <t>Provision for income taxes as % of PBT</t>
  </si>
  <si>
    <t>Other income(expense) as a % of operating income</t>
  </si>
  <si>
    <t>Dep and Amortization as %age of sales</t>
  </si>
  <si>
    <t xml:space="preserve">                                                </t>
  </si>
  <si>
    <t>Key metrix</t>
  </si>
  <si>
    <t>EBIT</t>
  </si>
  <si>
    <t xml:space="preserve">Add: Depreciation And Amortization </t>
  </si>
  <si>
    <t>EBITDA</t>
  </si>
  <si>
    <t>Gross Margin</t>
  </si>
  <si>
    <t>EBITDA Margin</t>
  </si>
  <si>
    <t>EBIT Margin</t>
  </si>
  <si>
    <t>Net Margin</t>
  </si>
  <si>
    <t>Net revenue</t>
  </si>
  <si>
    <t>Gross Profit</t>
  </si>
  <si>
    <t>Product development</t>
  </si>
  <si>
    <t>Depreciation and amortization</t>
  </si>
  <si>
    <t>Total costs and expenses</t>
  </si>
  <si>
    <t>Other income (expense), net:</t>
  </si>
  <si>
    <t>Interest income</t>
  </si>
  <si>
    <t>Interest expense</t>
  </si>
  <si>
    <t>Other, net</t>
  </si>
  <si>
    <t>Total other income (expense), net</t>
  </si>
  <si>
    <t>Income (loss) before income taxes</t>
  </si>
  <si>
    <t>Provision (benefit) for income taxes</t>
  </si>
  <si>
    <t>Accretion of redeemable noncontrolling interest</t>
  </si>
  <si>
    <t>Net income (loss) attributable to common stockholders</t>
  </si>
  <si>
    <t>Basic Share Outstanding</t>
  </si>
  <si>
    <t>Diluted Share Outstanding</t>
  </si>
  <si>
    <t>Basic EPS</t>
  </si>
  <si>
    <t>Diluted EPS</t>
  </si>
  <si>
    <t>Targets Income Statement</t>
  </si>
  <si>
    <t>Product development as % of sales</t>
  </si>
  <si>
    <t>Effective tax rate</t>
  </si>
  <si>
    <t>Key metrixs</t>
  </si>
  <si>
    <t>add: Depriciation and amortisation</t>
  </si>
  <si>
    <t>EBITDA margin</t>
  </si>
  <si>
    <t>Net margin</t>
  </si>
  <si>
    <t>(In millions)</t>
  </si>
  <si>
    <t>Lease committed</t>
  </si>
  <si>
    <t>Year</t>
  </si>
  <si>
    <t>Date of announcement of merger</t>
  </si>
  <si>
    <t>Date of complition of merger</t>
  </si>
  <si>
    <t xml:space="preserve">Acquirer Company </t>
  </si>
  <si>
    <t>Acquirer's Ticker</t>
  </si>
  <si>
    <t>Tartget Company</t>
  </si>
  <si>
    <t xml:space="preserve">Target's Ticker </t>
  </si>
  <si>
    <t>Offer Price</t>
  </si>
  <si>
    <t xml:space="preserve">Equity Value </t>
  </si>
  <si>
    <t>No.of Diluted shares outstanding</t>
  </si>
  <si>
    <t>purchase equity value</t>
  </si>
  <si>
    <t>purchase enterprice value</t>
  </si>
  <si>
    <t>Advisory fees</t>
  </si>
  <si>
    <t>Debt Issuance fees</t>
  </si>
  <si>
    <t>Amortization period (year)</t>
  </si>
  <si>
    <t>Minimum cash balance of combined company</t>
  </si>
  <si>
    <t>Pre-deal cash balance of combined company</t>
  </si>
  <si>
    <t>June 13, 2016</t>
  </si>
  <si>
    <t>Dec 08, 2016</t>
  </si>
  <si>
    <t>Microsoft Corp.</t>
  </si>
  <si>
    <t>(Nasdaq: MSFT)</t>
  </si>
  <si>
    <t>LinkedIn Corporation</t>
  </si>
  <si>
    <t>(NYSE: LNKD)</t>
  </si>
  <si>
    <t>%Cash</t>
  </si>
  <si>
    <t>%Debt</t>
  </si>
  <si>
    <t>%Stock</t>
  </si>
  <si>
    <t>Particular</t>
  </si>
  <si>
    <t>Cash used</t>
  </si>
  <si>
    <t>Debt used</t>
  </si>
  <si>
    <t>Stock used</t>
  </si>
  <si>
    <t>No. of share issued</t>
  </si>
  <si>
    <t>Weighted average cost of fund</t>
  </si>
  <si>
    <t>Pre-tax cost</t>
  </si>
  <si>
    <t>Tax  rate of acquirer</t>
  </si>
  <si>
    <t>Post tax cost</t>
  </si>
  <si>
    <t>COGS Synergies</t>
  </si>
  <si>
    <t>EMI</t>
  </si>
  <si>
    <t>Sources and uses of fund</t>
  </si>
  <si>
    <t>Cash</t>
  </si>
  <si>
    <t>Debt</t>
  </si>
  <si>
    <t>Equity</t>
  </si>
  <si>
    <t>Excess Cash</t>
  </si>
  <si>
    <t>Total</t>
  </si>
  <si>
    <t>Equity purchase price</t>
  </si>
  <si>
    <t>Debt issuance fees</t>
  </si>
  <si>
    <t>Refinancing of acquirer's debt</t>
  </si>
  <si>
    <t xml:space="preserve"> Total </t>
  </si>
  <si>
    <t>Purchase Price Allocation</t>
  </si>
  <si>
    <t>Calculation of goodwill:</t>
  </si>
  <si>
    <t>Equity Purchase price</t>
  </si>
  <si>
    <t>Less: Book value of target's equity</t>
  </si>
  <si>
    <t>Add: Existing goodwill of target</t>
  </si>
  <si>
    <t>Allocated Purchase Price</t>
  </si>
  <si>
    <t>Less: Fixed asset writeup</t>
  </si>
  <si>
    <t>Less: Intangible asset (Finite life)</t>
  </si>
  <si>
    <t>Less DTL Written off</t>
  </si>
  <si>
    <t>Add: New DTL created</t>
  </si>
  <si>
    <t>Fixed Asset writeup</t>
  </si>
  <si>
    <t>PPE writeup in %</t>
  </si>
  <si>
    <t>PPE writeup in amount</t>
  </si>
  <si>
    <t>Life of a fixed asset (year)</t>
  </si>
  <si>
    <t>Intangible assets identified</t>
  </si>
  <si>
    <t>Other intangible asset amount</t>
  </si>
  <si>
    <t>Life of intangible assets (years)</t>
  </si>
  <si>
    <t>New DTL created</t>
  </si>
  <si>
    <t>Combined Company's Income Statement</t>
  </si>
  <si>
    <t>Revenue - Acquirer</t>
  </si>
  <si>
    <t>Revenue - Target</t>
  </si>
  <si>
    <t>Revenue - Synergies</t>
  </si>
  <si>
    <t>Revenue of combined companies</t>
  </si>
  <si>
    <t>Cost of sales - Acquirer</t>
  </si>
  <si>
    <t>Cost of sales - Target</t>
  </si>
  <si>
    <t>Cost of sales - Synergies</t>
  </si>
  <si>
    <t>Cost of sales of combined compines</t>
  </si>
  <si>
    <t>Selling and General expenses - Acquirer</t>
  </si>
  <si>
    <t>Selling and General expenses - Target</t>
  </si>
  <si>
    <t>Selling and General expenses - Synergies</t>
  </si>
  <si>
    <t>Selling and General expenses of combined companied (Including D&amp;A)</t>
  </si>
  <si>
    <t>Depreciation and Amortization - Acquirer</t>
  </si>
  <si>
    <t>Depreciation and Amortization - Target</t>
  </si>
  <si>
    <t>EBITDA of combined companies</t>
  </si>
  <si>
    <t>Amortization of intangible asset identified in merger</t>
  </si>
  <si>
    <t>Dep on fixed asset write up</t>
  </si>
  <si>
    <t>EBIT of comnbined companies</t>
  </si>
  <si>
    <t>Amortization of Debt</t>
  </si>
  <si>
    <t>Foregone interest on cash</t>
  </si>
  <si>
    <t>Profit before tax (PBT)</t>
  </si>
  <si>
    <t>Provision for tax</t>
  </si>
  <si>
    <t>Profit after tax (PAT)</t>
  </si>
  <si>
    <t>Non-controlling interest</t>
  </si>
  <si>
    <t>Net earnings per common share attributable to common shareholders:</t>
  </si>
  <si>
    <t>Diluted share outstanding</t>
  </si>
  <si>
    <t>EPS-combined company</t>
  </si>
  <si>
    <t>EPS-Standalone</t>
  </si>
  <si>
    <t>Accretion/(Dilution)</t>
  </si>
  <si>
    <t>Sources of Funds</t>
  </si>
  <si>
    <t>Uses of Funds</t>
  </si>
  <si>
    <t>Current Assets:</t>
  </si>
  <si>
    <t>Cash and cash equivalents</t>
  </si>
  <si>
    <t>Marketable securities</t>
  </si>
  <si>
    <t>Accounts receivable</t>
  </si>
  <si>
    <t>Deferred commissions</t>
  </si>
  <si>
    <t>Prepaid expenses</t>
  </si>
  <si>
    <t>Other current assets</t>
  </si>
  <si>
    <t>Property and equipment, net</t>
  </si>
  <si>
    <t>Intangible assets, net</t>
  </si>
  <si>
    <t>Other assets</t>
  </si>
  <si>
    <t>Total Assets</t>
  </si>
  <si>
    <t>Liabilities &amp; Stockholders' Equity</t>
  </si>
  <si>
    <t>Current liabilities:</t>
  </si>
  <si>
    <t>Accounts payable</t>
  </si>
  <si>
    <t>Accrued liabilities</t>
  </si>
  <si>
    <t>Deferred revenue</t>
  </si>
  <si>
    <t>Convertible senior notes, net</t>
  </si>
  <si>
    <t>Deferred tax liabilities</t>
  </si>
  <si>
    <t>Redeemable non-controlling interest</t>
  </si>
  <si>
    <t>Total stockholders’ equity</t>
  </si>
  <si>
    <t>Total liabilities and stockholders’ equity</t>
  </si>
  <si>
    <t>-</t>
  </si>
  <si>
    <t>Targets balance sheet</t>
  </si>
  <si>
    <t>Debit</t>
  </si>
  <si>
    <t>Credit</t>
  </si>
  <si>
    <t>Combined balance sheet</t>
  </si>
  <si>
    <t>Buyer</t>
  </si>
  <si>
    <t>Seller</t>
  </si>
  <si>
    <t>Proforma Adjustments</t>
  </si>
  <si>
    <t>Current Assets</t>
  </si>
  <si>
    <t>Short-term investments</t>
  </si>
  <si>
    <t>Inventories</t>
  </si>
  <si>
    <t>Short-term unearned revenue</t>
  </si>
  <si>
    <t>Long-term debt</t>
  </si>
  <si>
    <t>Long-term unearned revenue</t>
  </si>
  <si>
    <t>Other long-term liabilities</t>
  </si>
  <si>
    <t>Interest</t>
  </si>
  <si>
    <t>Principal</t>
  </si>
  <si>
    <t>closing balance</t>
  </si>
  <si>
    <t>ASSETS</t>
  </si>
  <si>
    <t>Other Current Assets and Prepaid Expenses</t>
  </si>
  <si>
    <t>Non-Current Assets</t>
  </si>
  <si>
    <t>Other long-term assets</t>
  </si>
  <si>
    <t>LIABILITY AND EQUITY</t>
  </si>
  <si>
    <t>Current Liability</t>
  </si>
  <si>
    <t>Accounts payables</t>
  </si>
  <si>
    <t>Short-term debt</t>
  </si>
  <si>
    <t>Total Current Liability</t>
  </si>
  <si>
    <t>Non-Current Liability</t>
  </si>
  <si>
    <t>Total Liability</t>
  </si>
  <si>
    <t>Total share holder's equity</t>
  </si>
  <si>
    <t>Total Equity and Liability</t>
  </si>
  <si>
    <t>Other intangible asset %</t>
  </si>
  <si>
    <t>New debt taken</t>
  </si>
  <si>
    <t>Forecast</t>
  </si>
  <si>
    <t>Selling and General expenses of combined companied (Excluding D&amp;A)</t>
  </si>
  <si>
    <t>Interest expense - combined companies</t>
  </si>
  <si>
    <t>Combined company's debt schedule</t>
  </si>
  <si>
    <t>Opening Balance</t>
  </si>
  <si>
    <t>Add: Loan Taken</t>
  </si>
  <si>
    <t>Less: Loan repaid</t>
  </si>
  <si>
    <t>Closing Balance</t>
  </si>
  <si>
    <t>Microsoft Corporation</t>
  </si>
  <si>
    <t>Software and cloud services</t>
  </si>
  <si>
    <t>Professional networking</t>
  </si>
  <si>
    <t>Enterprise solutions</t>
  </si>
  <si>
    <t>Job listings</t>
  </si>
  <si>
    <t>Hardware and devices</t>
  </si>
  <si>
    <t>Premium subscriptions</t>
  </si>
  <si>
    <t>Talent and marketing solutions</t>
  </si>
  <si>
    <t>integration</t>
  </si>
  <si>
    <t xml:space="preserve">Key Details of the Acquisition: </t>
  </si>
  <si>
    <t xml:space="preserve">Analyst Commentary: </t>
  </si>
  <si>
    <t>Analysts noted that Microsoft could build LinkedIn into a major customer relationship management (CRM) platform, competing with Salesforce.</t>
  </si>
  <si>
    <t>Some analysts also pointed out that the deal gave Microsoft access to the world's largest professional social network .</t>
  </si>
  <si>
    <t xml:space="preserve">Impact on Microsoft and LinkedIn: </t>
  </si>
  <si>
    <t>Strategic Rationale Behind the Merger</t>
  </si>
  <si>
    <t>This would help users enhance their work through intelligent insights, networking, and collaboration.</t>
  </si>
  <si>
    <t>19% growth in total membership</t>
  </si>
  <si>
    <t>49% growth in mobile usage</t>
  </si>
  <si>
    <t>101% increase in job listings</t>
  </si>
  <si>
    <t>Microsoft could leverage this momentum to boost both companies’ reach and user base.</t>
  </si>
  <si>
    <t>Microsoft saw value in combining its AI and cloud capabilities with LinkedIn’s data to drive smarter business tools and recommendations.</t>
  </si>
  <si>
    <t>Mediating Parties Involved in the Microsoft–LinkedIn Acquisition</t>
  </si>
  <si>
    <t>1. Financial Advisors</t>
  </si>
  <si>
    <t>2. Legal Advisors</t>
  </si>
  <si>
    <t>These advisors played a crucial role in:</t>
  </si>
  <si>
    <t>Structuring the transaction</t>
  </si>
  <si>
    <t>Performing financial valuations and due diligence</t>
  </si>
  <si>
    <t>Negotiating the terms and ensuring legal compliance</t>
  </si>
  <si>
    <t>Facilitating communication with regulators and shareholders</t>
  </si>
  <si>
    <r>
      <t>Transaction Value:</t>
    </r>
    <r>
      <rPr>
        <sz val="11"/>
        <color theme="1"/>
        <rFont val="Arial"/>
        <family val="2"/>
      </rPr>
      <t xml:space="preserve"> $26.2 billion, including LinkedIn's net cash.</t>
    </r>
  </si>
  <si>
    <r>
      <t>Price per Share:</t>
    </r>
    <r>
      <rPr>
        <sz val="11"/>
        <color theme="1"/>
        <rFont val="Arial"/>
        <family val="2"/>
      </rPr>
      <t xml:space="preserve"> $196.</t>
    </r>
  </si>
  <si>
    <r>
      <t>Leadership:</t>
    </r>
    <r>
      <rPr>
        <sz val="11"/>
        <color theme="1"/>
        <rFont val="Arial"/>
        <family val="2"/>
      </rPr>
      <t xml:space="preserve"> Jeff Weiner to remain LinkedIn CEO, reporting to Satya Nadella.</t>
    </r>
  </si>
  <si>
    <r>
      <t>Brand and Independence:</t>
    </r>
    <r>
      <rPr>
        <sz val="11"/>
        <color theme="1"/>
        <rFont val="Arial"/>
        <family val="2"/>
      </rPr>
      <t xml:space="preserve"> LinkedIn to retain its distinct brand, culture, and independence.</t>
    </r>
  </si>
  <si>
    <r>
      <t>Strategic Fit:</t>
    </r>
    <r>
      <rPr>
        <sz val="11"/>
        <color theme="1"/>
        <rFont val="Arial"/>
        <family val="2"/>
      </rPr>
      <t xml:space="preserve"> Microsoft aimed to integrate LinkedIn with its enterprise software, like Office 365, and leverage its large user base.</t>
    </r>
  </si>
  <si>
    <r>
      <t>Microsoft:</t>
    </r>
    <r>
      <rPr>
        <sz val="11"/>
        <color theme="1"/>
        <rFont val="Arial"/>
        <family val="2"/>
      </rPr>
      <t xml:space="preserve"> Gained access to LinkedIn's massive user base and a prominent professional networking platform, strengthening its enterprise offerings.</t>
    </r>
  </si>
  <si>
    <r>
      <t>LinkedIn:</t>
    </r>
    <r>
      <rPr>
        <sz val="11"/>
        <color theme="1"/>
        <rFont val="Arial"/>
        <family val="2"/>
      </rPr>
      <t xml:space="preserve"> Benefited from Microsoft's resources and support, accelerating its growth and expanding its global reach.</t>
    </r>
  </si>
  <si>
    <t>Merger model of Microsoft &amp; Linked In</t>
  </si>
  <si>
    <t>Acquirer Company  :  Microsoft (MSFT)</t>
  </si>
  <si>
    <t>Tartget Company : LinkedIn (LNKD)</t>
  </si>
  <si>
    <r>
      <t>On Monday, June 13, 2016, Microsoft (MSFT) announced the acquisition of LinkedIn for $26.2 billion in an all-cash transaction, valuing each share at $196</t>
    </r>
    <r>
      <rPr>
        <sz val="11"/>
        <color theme="1"/>
        <rFont val="Arial"/>
        <family val="2"/>
      </rPr>
      <t>. The deal was fully supported by LinkedIn's chairman and co-founder, Reid Hoffman, and CEO, Jeff Weiner, who would remain in his role and report to Microsoft CEO Satya Nadella. LinkedIn would retain its distinct brand, culture, and independence.</t>
    </r>
  </si>
  <si>
    <r>
      <t xml:space="preserve">The acquisition of LinkedIn by Microsoft in June 2016 for </t>
    </r>
    <r>
      <rPr>
        <b/>
        <sz val="11"/>
        <color theme="1"/>
        <rFont val="Arial"/>
        <family val="2"/>
      </rPr>
      <t>$26.2 billion</t>
    </r>
    <r>
      <rPr>
        <sz val="11"/>
        <color theme="1"/>
        <rFont val="Arial"/>
        <family val="2"/>
      </rPr>
      <t xml:space="preserve"> was driven by a shared vision: </t>
    </r>
    <r>
      <rPr>
        <b/>
        <sz val="11"/>
        <color theme="1"/>
        <rFont val="Arial"/>
        <family val="2"/>
      </rPr>
      <t>to connect the world's leading professional cloud with the world's leading professional network</t>
    </r>
    <r>
      <rPr>
        <sz val="11"/>
        <color theme="1"/>
        <rFont val="Arial"/>
        <family val="2"/>
      </rPr>
      <t>. The strategic rationale includes the following key points:</t>
    </r>
  </si>
  <si>
    <t>🔗 1. Synergy Between Products and Platforms</t>
  </si>
  <si>
    <r>
      <t xml:space="preserve">Microsoft aimed to integrate </t>
    </r>
    <r>
      <rPr>
        <b/>
        <sz val="11"/>
        <color theme="1"/>
        <rFont val="Arial"/>
        <family val="2"/>
      </rPr>
      <t>LinkedIn’s professional graph</t>
    </r>
    <r>
      <rPr>
        <sz val="11"/>
        <color theme="1"/>
        <rFont val="Arial"/>
        <family val="2"/>
      </rPr>
      <t xml:space="preserve"> with its productivity suite (Office 365, Outlook, Dynamics CRM).</t>
    </r>
  </si>
  <si>
    <t>📈 2. Accelerated Engagement and Growth</t>
  </si>
  <si>
    <r>
      <t xml:space="preserve">LinkedIn had shown </t>
    </r>
    <r>
      <rPr>
        <b/>
        <sz val="11"/>
        <color theme="1"/>
        <rFont val="Arial"/>
        <family val="2"/>
      </rPr>
      <t>strong user growth</t>
    </r>
    <r>
      <rPr>
        <sz val="11"/>
        <color theme="1"/>
        <rFont val="Arial"/>
        <family val="2"/>
      </rPr>
      <t xml:space="preserve"> and engagement:</t>
    </r>
  </si>
  <si>
    <t>💼 3. Expansion of Microsoft’s Enterprise Ecosystem</t>
  </si>
  <si>
    <r>
      <t xml:space="preserve">LinkedIn’s data and job analytics would enhance Microsoft’s </t>
    </r>
    <r>
      <rPr>
        <b/>
        <sz val="11"/>
        <color theme="1"/>
        <rFont val="Arial"/>
        <family val="2"/>
      </rPr>
      <t>B2B services</t>
    </r>
    <r>
      <rPr>
        <sz val="11"/>
        <color theme="1"/>
        <rFont val="Arial"/>
        <family val="2"/>
      </rPr>
      <t>, particularly CRM, HR, and recruiting tools.</t>
    </r>
  </si>
  <si>
    <r>
      <t xml:space="preserve">It allowed Microsoft to </t>
    </r>
    <r>
      <rPr>
        <b/>
        <sz val="11"/>
        <color theme="1"/>
        <rFont val="Arial"/>
        <family val="2"/>
      </rPr>
      <t>deepen its footprint</t>
    </r>
    <r>
      <rPr>
        <sz val="11"/>
        <color theme="1"/>
        <rFont val="Arial"/>
        <family val="2"/>
      </rPr>
      <t xml:space="preserve"> in enterprise productivity and digital transformation.</t>
    </r>
  </si>
  <si>
    <t>💡 4. Data and Artificial Intelligence Integration</t>
  </si>
  <si>
    <t>💰 5. Revenue and Cross-Selling Opportunities</t>
  </si>
  <si>
    <r>
      <t xml:space="preserve">Microsoft expected to generate new revenue through </t>
    </r>
    <r>
      <rPr>
        <b/>
        <sz val="11"/>
        <color theme="1"/>
        <rFont val="Arial"/>
        <family val="2"/>
      </rPr>
      <t>advertising</t>
    </r>
    <r>
      <rPr>
        <sz val="11"/>
        <color theme="1"/>
        <rFont val="Arial"/>
        <family val="2"/>
      </rPr>
      <t xml:space="preserve">, </t>
    </r>
    <r>
      <rPr>
        <b/>
        <sz val="11"/>
        <color theme="1"/>
        <rFont val="Arial"/>
        <family val="2"/>
      </rPr>
      <t>premium subscriptions</t>
    </r>
    <r>
      <rPr>
        <sz val="11"/>
        <color theme="1"/>
        <rFont val="Arial"/>
        <family val="2"/>
      </rPr>
      <t xml:space="preserve">, and </t>
    </r>
    <r>
      <rPr>
        <b/>
        <sz val="11"/>
        <color theme="1"/>
        <rFont val="Arial"/>
        <family val="2"/>
      </rPr>
      <t>enterprise sales</t>
    </r>
    <r>
      <rPr>
        <sz val="11"/>
        <color theme="1"/>
        <rFont val="Arial"/>
        <family val="2"/>
      </rPr>
      <t xml:space="preserve"> via LinkedIn’s network.</t>
    </r>
  </si>
  <si>
    <r>
      <t xml:space="preserve">Both companies saw potential for </t>
    </r>
    <r>
      <rPr>
        <b/>
        <sz val="11"/>
        <color theme="1"/>
        <rFont val="Arial"/>
        <family val="2"/>
      </rPr>
      <t>cost synergies</t>
    </r>
    <r>
      <rPr>
        <sz val="11"/>
        <color theme="1"/>
        <rFont val="Arial"/>
        <family val="2"/>
      </rPr>
      <t xml:space="preserve"> and long-term monetization.</t>
    </r>
  </si>
  <si>
    <r>
      <t xml:space="preserve">🏦 </t>
    </r>
    <r>
      <rPr>
        <i/>
        <sz val="11"/>
        <color theme="1"/>
        <rFont val="Arial"/>
        <family val="2"/>
      </rPr>
      <t>Morgan Stanley</t>
    </r>
    <r>
      <rPr>
        <sz val="11"/>
        <color theme="1"/>
        <rFont val="Arial"/>
        <family val="2"/>
      </rPr>
      <t xml:space="preserve"> – Acted as Microsoft’s </t>
    </r>
    <r>
      <rPr>
        <b/>
        <sz val="11"/>
        <color theme="1"/>
        <rFont val="Arial"/>
        <family val="2"/>
      </rPr>
      <t>exclusive financial advisor</t>
    </r>
    <r>
      <rPr>
        <sz val="11"/>
        <color theme="1"/>
        <rFont val="Arial"/>
        <family val="2"/>
      </rPr>
      <t xml:space="preserve"> for the transaction.</t>
    </r>
  </si>
  <si>
    <r>
      <t xml:space="preserve">🏦 </t>
    </r>
    <r>
      <rPr>
        <i/>
        <sz val="11"/>
        <color theme="1"/>
        <rFont val="Arial"/>
        <family val="2"/>
      </rPr>
      <t>Qatalyst Partners</t>
    </r>
    <r>
      <rPr>
        <sz val="11"/>
        <color theme="1"/>
        <rFont val="Arial"/>
        <family val="2"/>
      </rPr>
      <t xml:space="preserve"> – Served as a </t>
    </r>
    <r>
      <rPr>
        <b/>
        <sz val="11"/>
        <color theme="1"/>
        <rFont val="Arial"/>
        <family val="2"/>
      </rPr>
      <t>financial advisor</t>
    </r>
    <r>
      <rPr>
        <sz val="11"/>
        <color theme="1"/>
        <rFont val="Arial"/>
        <family val="2"/>
      </rPr>
      <t xml:space="preserve"> to LinkedIn.</t>
    </r>
  </si>
  <si>
    <r>
      <t xml:space="preserve">🏦 </t>
    </r>
    <r>
      <rPr>
        <i/>
        <sz val="11"/>
        <color theme="1"/>
        <rFont val="Arial"/>
        <family val="2"/>
      </rPr>
      <t>Allen &amp; Company</t>
    </r>
    <r>
      <rPr>
        <sz val="11"/>
        <color theme="1"/>
        <rFont val="Arial"/>
        <family val="2"/>
      </rPr>
      <t xml:space="preserve"> – Also provided </t>
    </r>
    <r>
      <rPr>
        <b/>
        <sz val="11"/>
        <color theme="1"/>
        <rFont val="Arial"/>
        <family val="2"/>
      </rPr>
      <t>financial advisory services</t>
    </r>
    <r>
      <rPr>
        <sz val="11"/>
        <color theme="1"/>
        <rFont val="Arial"/>
        <family val="2"/>
      </rPr>
      <t xml:space="preserve"> to LinkedIn.</t>
    </r>
  </si>
  <si>
    <r>
      <t xml:space="preserve">⚖️ </t>
    </r>
    <r>
      <rPr>
        <i/>
        <sz val="11"/>
        <color theme="1"/>
        <rFont val="Arial"/>
        <family val="2"/>
      </rPr>
      <t>Simpson Thacher &amp; Bartlett LLP</t>
    </r>
    <r>
      <rPr>
        <sz val="11"/>
        <color theme="1"/>
        <rFont val="Arial"/>
        <family val="2"/>
      </rPr>
      <t xml:space="preserve"> – Provided </t>
    </r>
    <r>
      <rPr>
        <b/>
        <sz val="11"/>
        <color theme="1"/>
        <rFont val="Arial"/>
        <family val="2"/>
      </rPr>
      <t>legal counsel</t>
    </r>
    <r>
      <rPr>
        <sz val="11"/>
        <color theme="1"/>
        <rFont val="Arial"/>
        <family val="2"/>
      </rPr>
      <t xml:space="preserve"> to Microsoft.</t>
    </r>
  </si>
  <si>
    <r>
      <t xml:space="preserve">⚖️ </t>
    </r>
    <r>
      <rPr>
        <i/>
        <sz val="11"/>
        <color theme="1"/>
        <rFont val="Arial"/>
        <family val="2"/>
      </rPr>
      <t>Latham &amp; Watkins LLP</t>
    </r>
    <r>
      <rPr>
        <sz val="11"/>
        <color theme="1"/>
        <rFont val="Arial"/>
        <family val="2"/>
      </rPr>
      <t xml:space="preserve"> – Served as </t>
    </r>
    <r>
      <rPr>
        <b/>
        <sz val="11"/>
        <color theme="1"/>
        <rFont val="Arial"/>
        <family val="2"/>
      </rPr>
      <t>legal advisors</t>
    </r>
    <r>
      <rPr>
        <sz val="11"/>
        <color theme="1"/>
        <rFont val="Arial"/>
        <family val="2"/>
      </rPr>
      <t xml:space="preserve"> to LinkedIn.</t>
    </r>
  </si>
  <si>
    <t>Date of Acquisition : 13/06/2016</t>
  </si>
  <si>
    <t>Price of acquisition :  $26.2 Billion</t>
  </si>
  <si>
    <t>($ in million except per share data)</t>
  </si>
  <si>
    <t>Income (loss) from operations (EBIT)</t>
  </si>
  <si>
    <t>Net income (loss) PAT</t>
  </si>
  <si>
    <t xml:space="preserve"> Founded: 1975</t>
  </si>
  <si>
    <t>Headquarters: Redmond, Washington</t>
  </si>
  <si>
    <t xml:space="preserve"> Business Model:</t>
  </si>
  <si>
    <t>Strategic Focus (2016): Cloud computing, AI, productivity tools, and enterprise</t>
  </si>
  <si>
    <t>Core Strength: Largest global platform for professionals to connect, learn, and find opportunities</t>
  </si>
  <si>
    <r>
      <t xml:space="preserve"> </t>
    </r>
    <r>
      <rPr>
        <b/>
        <sz val="11"/>
        <color theme="1"/>
        <rFont val="Calibri"/>
        <family val="2"/>
        <scheme val="minor"/>
      </rPr>
      <t>Founded</t>
    </r>
    <r>
      <rPr>
        <sz val="11"/>
        <color theme="1"/>
        <rFont val="Calibri"/>
        <family val="2"/>
        <scheme val="minor"/>
      </rPr>
      <t>: 2002</t>
    </r>
  </si>
  <si>
    <r>
      <t xml:space="preserve"> </t>
    </r>
    <r>
      <rPr>
        <b/>
        <sz val="11"/>
        <color theme="1"/>
        <rFont val="Calibri"/>
        <family val="2"/>
        <scheme val="minor"/>
      </rPr>
      <t>Headquarters</t>
    </r>
    <r>
      <rPr>
        <sz val="11"/>
        <color theme="1"/>
        <rFont val="Calibri"/>
        <family val="2"/>
        <scheme val="minor"/>
      </rPr>
      <t>: Sunnyvale, California</t>
    </r>
  </si>
  <si>
    <r>
      <t xml:space="preserve"> </t>
    </r>
    <r>
      <rPr>
        <b/>
        <sz val="11"/>
        <color theme="1"/>
        <rFont val="Calibri"/>
        <family val="2"/>
        <scheme val="minor"/>
      </rPr>
      <t>Users (2016</t>
    </r>
    <r>
      <rPr>
        <sz val="11"/>
        <color theme="1"/>
        <rFont val="Calibri"/>
        <family val="2"/>
        <scheme val="minor"/>
      </rPr>
      <t>): Over 433 million members</t>
    </r>
  </si>
  <si>
    <r>
      <rPr>
        <b/>
        <sz val="11"/>
        <color theme="1"/>
        <rFont val="Calibri"/>
        <family val="2"/>
        <scheme val="minor"/>
      </rPr>
      <t>Key Products</t>
    </r>
    <r>
      <rPr>
        <sz val="11"/>
        <color theme="1"/>
        <rFont val="Calibri"/>
        <family val="2"/>
        <scheme val="minor"/>
      </rPr>
      <t>: Windows OS, Microsoft Office, Azure Cloud, Dynamics CRM</t>
    </r>
  </si>
  <si>
    <t>Business model</t>
  </si>
  <si>
    <t>Acquirer Company : Microsoft (MSFT)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</si>
</sst>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&quot;FY&quot;0"/>
    <numFmt numFmtId="167" formatCode="_(&quot;₹&quot;* #,##0.00_);_(&quot;₹&quot;* \(#,##0.00\);_(&quot;₹&quot;* &quot;-&quot;??_);_(@_)"/>
    <numFmt numFmtId="168" formatCode="0.0"/>
    <numFmt numFmtId="169" formatCode="#,##0.0"/>
    <numFmt numFmtId="170" formatCode="0.0%"/>
    <numFmt numFmtId="171" formatCode="0.0,"/>
    <numFmt numFmtId="172" formatCode="0.000"/>
    <numFmt numFmtId="173" formatCode="0,"/>
    <numFmt numFmtId="174" formatCode="_ &quot;₹&quot;\ * #,##0.00_ ;_ &quot;₹&quot;\ * \-#,##0.00_ ;_ &quot;₹&quot;\ * &quot;-&quot;??_ ;_ @_ "/>
    <numFmt numFmtId="175" formatCode="_ * #,##0.00_ ;_ * \-#,##0.00_ ;_ * &quot;-&quot;??_ ;_ @_ 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1"/>
      <color theme="8" tint="-0.499984740745262"/>
      <name val="Calibri"/>
      <family val="2"/>
      <scheme val="minor"/>
    </font>
    <font>
      <sz val="10"/>
      <color theme="8" tint="-0.499984740745262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4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theme="0"/>
      </top>
      <bottom style="thin">
        <color theme="0"/>
      </bottom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theme="1"/>
      </top>
      <bottom style="double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double">
        <color theme="1"/>
      </bottom>
      <diagonal/>
    </border>
    <border>
      <left/>
      <right/>
      <top style="thin">
        <color theme="1"/>
      </top>
      <bottom style="double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0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75" fontId="2" fillId="0" borderId="0" applyFont="0" applyFill="0" applyBorder="0" applyAlignment="0" applyProtection="0"/>
    <xf numFmtId="174" fontId="2" fillId="0" borderId="0" applyFont="0" applyFill="0" applyBorder="0" applyAlignment="0" applyProtection="0"/>
  </cellStyleXfs>
  <cellXfs count="296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  <xf numFmtId="15" fontId="0" fillId="0" borderId="0" xfId="0" applyNumberFormat="1"/>
    <xf numFmtId="0" fontId="0" fillId="0" borderId="0" xfId="0"/>
    <xf numFmtId="0" fontId="1" fillId="0" borderId="0" xfId="0" applyFont="1"/>
    <xf numFmtId="0" fontId="0" fillId="0" borderId="0" xfId="0"/>
    <xf numFmtId="3" fontId="0" fillId="0" borderId="0" xfId="0" applyNumberFormat="1"/>
    <xf numFmtId="0" fontId="0" fillId="0" borderId="1" xfId="0" applyBorder="1"/>
    <xf numFmtId="0" fontId="1" fillId="0" borderId="1" xfId="0" applyFont="1" applyBorder="1"/>
    <xf numFmtId="9" fontId="0" fillId="0" borderId="0" xfId="2" applyFont="1"/>
    <xf numFmtId="164" fontId="0" fillId="0" borderId="0" xfId="1" applyNumberFormat="1" applyFont="1"/>
    <xf numFmtId="0" fontId="0" fillId="0" borderId="0" xfId="0" applyBorder="1"/>
    <xf numFmtId="165" fontId="0" fillId="0" borderId="0" xfId="1" applyNumberFormat="1" applyFont="1"/>
    <xf numFmtId="164" fontId="1" fillId="0" borderId="1" xfId="1" applyNumberFormat="1" applyFont="1" applyBorder="1"/>
    <xf numFmtId="0" fontId="0" fillId="2" borderId="2" xfId="0" applyFill="1" applyBorder="1"/>
    <xf numFmtId="0" fontId="1" fillId="2" borderId="3" xfId="0" applyFont="1" applyFill="1" applyBorder="1"/>
    <xf numFmtId="0" fontId="0" fillId="2" borderId="3" xfId="0" applyFill="1" applyBorder="1"/>
    <xf numFmtId="0" fontId="0" fillId="2" borderId="4" xfId="0" applyFill="1" applyBorder="1"/>
    <xf numFmtId="44" fontId="0" fillId="0" borderId="0" xfId="3" applyFont="1"/>
    <xf numFmtId="9" fontId="0" fillId="0" borderId="0" xfId="0" applyNumberFormat="1"/>
    <xf numFmtId="168" fontId="0" fillId="0" borderId="0" xfId="0" applyNumberFormat="1"/>
    <xf numFmtId="0" fontId="1" fillId="0" borderId="0" xfId="0" applyFont="1" applyBorder="1"/>
    <xf numFmtId="169" fontId="0" fillId="0" borderId="0" xfId="0" applyNumberFormat="1"/>
    <xf numFmtId="0" fontId="1" fillId="0" borderId="0" xfId="0" applyFont="1" applyFill="1"/>
    <xf numFmtId="0" fontId="0" fillId="0" borderId="0" xfId="0" applyFill="1"/>
    <xf numFmtId="166" fontId="0" fillId="0" borderId="0" xfId="0" applyNumberFormat="1" applyFill="1"/>
    <xf numFmtId="3" fontId="0" fillId="0" borderId="1" xfId="0" applyNumberFormat="1" applyBorder="1"/>
    <xf numFmtId="3" fontId="0" fillId="0" borderId="0" xfId="0" applyNumberFormat="1" applyBorder="1"/>
    <xf numFmtId="3" fontId="1" fillId="0" borderId="1" xfId="0" applyNumberFormat="1" applyFont="1" applyBorder="1"/>
    <xf numFmtId="43" fontId="0" fillId="0" borderId="0" xfId="1" applyFont="1"/>
    <xf numFmtId="3" fontId="7" fillId="0" borderId="0" xfId="0" applyNumberFormat="1" applyFont="1"/>
    <xf numFmtId="0" fontId="7" fillId="0" borderId="0" xfId="0" applyFont="1"/>
    <xf numFmtId="3" fontId="7" fillId="0" borderId="0" xfId="0" applyNumberFormat="1" applyFont="1" applyBorder="1"/>
    <xf numFmtId="2" fontId="7" fillId="0" borderId="0" xfId="0" applyNumberFormat="1" applyFont="1"/>
    <xf numFmtId="170" fontId="0" fillId="0" borderId="0" xfId="2" applyNumberFormat="1" applyFont="1"/>
    <xf numFmtId="1" fontId="0" fillId="0" borderId="0" xfId="0" applyNumberFormat="1"/>
    <xf numFmtId="43" fontId="0" fillId="0" borderId="0" xfId="0" applyNumberFormat="1"/>
    <xf numFmtId="0" fontId="1" fillId="0" borderId="0" xfId="0" applyFont="1" applyFill="1" applyBorder="1"/>
    <xf numFmtId="0" fontId="0" fillId="0" borderId="0" xfId="0" applyFill="1" applyBorder="1"/>
    <xf numFmtId="166" fontId="0" fillId="0" borderId="0" xfId="0" applyNumberFormat="1" applyFill="1" applyBorder="1"/>
    <xf numFmtId="0" fontId="0" fillId="0" borderId="5" xfId="0" applyBorder="1"/>
    <xf numFmtId="0" fontId="0" fillId="0" borderId="5" xfId="0" applyFont="1" applyBorder="1"/>
    <xf numFmtId="171" fontId="0" fillId="0" borderId="0" xfId="0" applyNumberFormat="1"/>
    <xf numFmtId="171" fontId="7" fillId="0" borderId="0" xfId="1" applyNumberFormat="1" applyFont="1"/>
    <xf numFmtId="171" fontId="0" fillId="0" borderId="0" xfId="1" applyNumberFormat="1" applyFont="1"/>
    <xf numFmtId="171" fontId="0" fillId="0" borderId="1" xfId="0" applyNumberFormat="1" applyBorder="1"/>
    <xf numFmtId="171" fontId="0" fillId="0" borderId="1" xfId="1" applyNumberFormat="1" applyFont="1" applyBorder="1"/>
    <xf numFmtId="171" fontId="0" fillId="0" borderId="5" xfId="1" applyNumberFormat="1" applyFont="1" applyBorder="1"/>
    <xf numFmtId="171" fontId="1" fillId="0" borderId="1" xfId="1" applyNumberFormat="1" applyFont="1" applyBorder="1"/>
    <xf numFmtId="171" fontId="0" fillId="0" borderId="0" xfId="0" applyNumberFormat="1" applyBorder="1"/>
    <xf numFmtId="171" fontId="7" fillId="0" borderId="0" xfId="0" applyNumberFormat="1" applyFont="1"/>
    <xf numFmtId="0" fontId="0" fillId="2" borderId="6" xfId="0" applyFill="1" applyBorder="1"/>
    <xf numFmtId="166" fontId="0" fillId="0" borderId="7" xfId="0" applyNumberFormat="1" applyFill="1" applyBorder="1"/>
    <xf numFmtId="171" fontId="7" fillId="0" borderId="7" xfId="1" applyNumberFormat="1" applyFont="1" applyBorder="1"/>
    <xf numFmtId="171" fontId="0" fillId="0" borderId="8" xfId="1" applyNumberFormat="1" applyFont="1" applyBorder="1"/>
    <xf numFmtId="164" fontId="0" fillId="0" borderId="7" xfId="1" applyNumberFormat="1" applyFont="1" applyBorder="1"/>
    <xf numFmtId="171" fontId="0" fillId="0" borderId="9" xfId="1" applyNumberFormat="1" applyFont="1" applyBorder="1"/>
    <xf numFmtId="171" fontId="0" fillId="0" borderId="7" xfId="1" applyNumberFormat="1" applyFont="1" applyBorder="1"/>
    <xf numFmtId="171" fontId="1" fillId="0" borderId="8" xfId="1" applyNumberFormat="1" applyFont="1" applyBorder="1"/>
    <xf numFmtId="171" fontId="0" fillId="0" borderId="7" xfId="0" applyNumberFormat="1" applyBorder="1"/>
    <xf numFmtId="171" fontId="7" fillId="0" borderId="7" xfId="0" applyNumberFormat="1" applyFont="1" applyBorder="1"/>
    <xf numFmtId="0" fontId="0" fillId="0" borderId="7" xfId="0" applyBorder="1"/>
    <xf numFmtId="43" fontId="0" fillId="0" borderId="7" xfId="0" applyNumberFormat="1" applyBorder="1"/>
    <xf numFmtId="172" fontId="0" fillId="0" borderId="0" xfId="0" applyNumberFormat="1"/>
    <xf numFmtId="2" fontId="0" fillId="0" borderId="0" xfId="0" applyNumberFormat="1"/>
    <xf numFmtId="171" fontId="1" fillId="0" borderId="1" xfId="0" applyNumberFormat="1" applyFont="1" applyBorder="1"/>
    <xf numFmtId="0" fontId="0" fillId="0" borderId="10" xfId="0" applyBorder="1"/>
    <xf numFmtId="0" fontId="1" fillId="0" borderId="10" xfId="0" applyFont="1" applyBorder="1"/>
    <xf numFmtId="165" fontId="0" fillId="0" borderId="0" xfId="0" applyNumberFormat="1"/>
    <xf numFmtId="0" fontId="0" fillId="0" borderId="0" xfId="0" applyFont="1" applyBorder="1"/>
    <xf numFmtId="165" fontId="0" fillId="0" borderId="0" xfId="1" applyNumberFormat="1" applyFont="1" applyBorder="1"/>
    <xf numFmtId="165" fontId="0" fillId="0" borderId="0" xfId="1" applyNumberFormat="1" applyFont="1" applyFill="1" applyBorder="1"/>
    <xf numFmtId="0" fontId="0" fillId="0" borderId="0" xfId="0" applyAlignment="1">
      <alignment horizontal="left" indent="1"/>
    </xf>
    <xf numFmtId="0" fontId="0" fillId="0" borderId="0" xfId="0" applyFill="1" applyBorder="1" applyAlignment="1">
      <alignment horizontal="left" indent="1"/>
    </xf>
    <xf numFmtId="0" fontId="0" fillId="0" borderId="0" xfId="0" applyFont="1"/>
    <xf numFmtId="0" fontId="0" fillId="0" borderId="11" xfId="0" applyBorder="1"/>
    <xf numFmtId="168" fontId="0" fillId="0" borderId="11" xfId="0" applyNumberFormat="1" applyBorder="1"/>
    <xf numFmtId="0" fontId="0" fillId="0" borderId="0" xfId="0" applyFont="1" applyFill="1" applyBorder="1"/>
    <xf numFmtId="165" fontId="0" fillId="0" borderId="1" xfId="1" applyNumberFormat="1" applyFont="1" applyBorder="1"/>
    <xf numFmtId="165" fontId="1" fillId="0" borderId="1" xfId="1" applyNumberFormat="1" applyFont="1" applyBorder="1"/>
    <xf numFmtId="43" fontId="0" fillId="0" borderId="11" xfId="1" applyFont="1" applyBorder="1"/>
    <xf numFmtId="3" fontId="1" fillId="0" borderId="12" xfId="0" applyNumberFormat="1" applyFont="1" applyBorder="1"/>
    <xf numFmtId="0" fontId="0" fillId="0" borderId="13" xfId="0" applyBorder="1"/>
    <xf numFmtId="173" fontId="0" fillId="0" borderId="0" xfId="1" applyNumberFormat="1" applyFont="1"/>
    <xf numFmtId="165" fontId="1" fillId="0" borderId="0" xfId="1" applyNumberFormat="1" applyFont="1"/>
    <xf numFmtId="43" fontId="1" fillId="0" borderId="1" xfId="1" applyNumberFormat="1" applyFont="1" applyBorder="1"/>
    <xf numFmtId="0" fontId="3" fillId="0" borderId="0" xfId="0" applyFont="1" applyFill="1"/>
    <xf numFmtId="0" fontId="1" fillId="0" borderId="16" xfId="0" applyFont="1" applyBorder="1"/>
    <xf numFmtId="165" fontId="1" fillId="0" borderId="16" xfId="1" applyNumberFormat="1" applyFont="1" applyBorder="1"/>
    <xf numFmtId="165" fontId="0" fillId="2" borderId="0" xfId="1" applyNumberFormat="1" applyFont="1" applyFill="1"/>
    <xf numFmtId="43" fontId="1" fillId="0" borderId="1" xfId="1" applyFont="1" applyBorder="1"/>
    <xf numFmtId="0" fontId="1" fillId="0" borderId="1" xfId="0" applyFont="1" applyBorder="1" applyAlignment="1">
      <alignment horizontal="left" indent="1"/>
    </xf>
    <xf numFmtId="0" fontId="0" fillId="0" borderId="0" xfId="0" applyFont="1" applyAlignment="1">
      <alignment horizontal="left" indent="1"/>
    </xf>
    <xf numFmtId="0" fontId="0" fillId="0" borderId="0" xfId="0" applyFont="1" applyBorder="1" applyAlignment="1">
      <alignment horizontal="left" indent="1"/>
    </xf>
    <xf numFmtId="166" fontId="1" fillId="2" borderId="0" xfId="0" applyNumberFormat="1" applyFont="1" applyFill="1"/>
    <xf numFmtId="0" fontId="10" fillId="2" borderId="0" xfId="0" applyFont="1" applyFill="1"/>
    <xf numFmtId="0" fontId="0" fillId="0" borderId="18" xfId="0" applyBorder="1"/>
    <xf numFmtId="9" fontId="0" fillId="0" borderId="18" xfId="0" applyNumberFormat="1" applyBorder="1"/>
    <xf numFmtId="171" fontId="1" fillId="0" borderId="8" xfId="0" applyNumberFormat="1" applyFont="1" applyBorder="1"/>
    <xf numFmtId="0" fontId="1" fillId="0" borderId="21" xfId="0" applyFont="1" applyBorder="1"/>
    <xf numFmtId="171" fontId="1" fillId="0" borderId="21" xfId="0" applyNumberFormat="1" applyFont="1" applyBorder="1"/>
    <xf numFmtId="171" fontId="1" fillId="0" borderId="20" xfId="0" applyNumberFormat="1" applyFont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44" fontId="0" fillId="0" borderId="27" xfId="3" applyFont="1" applyBorder="1"/>
    <xf numFmtId="44" fontId="0" fillId="0" borderId="27" xfId="0" applyNumberFormat="1" applyBorder="1"/>
    <xf numFmtId="44" fontId="0" fillId="0" borderId="28" xfId="0" applyNumberFormat="1" applyBorder="1"/>
    <xf numFmtId="0" fontId="1" fillId="2" borderId="17" xfId="0" applyFont="1" applyFill="1" applyBorder="1"/>
    <xf numFmtId="0" fontId="1" fillId="2" borderId="0" xfId="0" applyFont="1" applyFill="1" applyAlignment="1">
      <alignment horizontal="center"/>
    </xf>
    <xf numFmtId="166" fontId="1" fillId="2" borderId="7" xfId="0" applyNumberFormat="1" applyFont="1" applyFill="1" applyBorder="1" applyAlignment="1">
      <alignment horizontal="center"/>
    </xf>
    <xf numFmtId="166" fontId="1" fillId="2" borderId="0" xfId="0" applyNumberFormat="1" applyFont="1" applyFill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0" fillId="4" borderId="0" xfId="0" applyFill="1"/>
    <xf numFmtId="0" fontId="11" fillId="0" borderId="0" xfId="0" applyFont="1" applyAlignment="1">
      <alignment vertical="center"/>
    </xf>
    <xf numFmtId="0" fontId="8" fillId="0" borderId="0" xfId="0" applyFont="1" applyAlignment="1">
      <alignment horizontal="left" vertical="center" indent="1"/>
    </xf>
    <xf numFmtId="0" fontId="11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indent="2"/>
    </xf>
    <xf numFmtId="0" fontId="11" fillId="5" borderId="0" xfId="0" applyFont="1" applyFill="1" applyAlignment="1">
      <alignment vertical="center"/>
    </xf>
    <xf numFmtId="0" fontId="11" fillId="0" borderId="0" xfId="0" applyFont="1" applyAlignment="1">
      <alignment horizontal="left" vertical="center" indent="2"/>
    </xf>
    <xf numFmtId="0" fontId="11" fillId="0" borderId="0" xfId="0" applyFont="1" applyAlignment="1">
      <alignment vertical="center" wrapText="1"/>
    </xf>
    <xf numFmtId="0" fontId="0" fillId="0" borderId="0" xfId="0"/>
    <xf numFmtId="0" fontId="11" fillId="0" borderId="0" xfId="0" applyFont="1" applyAlignment="1">
      <alignment vertical="center"/>
    </xf>
    <xf numFmtId="0" fontId="13" fillId="5" borderId="0" xfId="0" applyFont="1" applyFill="1" applyAlignment="1">
      <alignment vertical="center"/>
    </xf>
    <xf numFmtId="0" fontId="8" fillId="0" borderId="0" xfId="0" applyFont="1" applyAlignment="1">
      <alignment horizontal="left" vertical="center" wrapText="1" indent="2"/>
    </xf>
    <xf numFmtId="0" fontId="8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indent="3"/>
    </xf>
    <xf numFmtId="0" fontId="8" fillId="0" borderId="0" xfId="0" applyFont="1" applyAlignment="1">
      <alignment horizontal="left" vertical="center" indent="4"/>
    </xf>
    <xf numFmtId="0" fontId="11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indent="2"/>
    </xf>
    <xf numFmtId="0" fontId="0" fillId="0" borderId="30" xfId="0" applyBorder="1" applyAlignment="1">
      <alignment horizontal="left"/>
    </xf>
    <xf numFmtId="0" fontId="0" fillId="0" borderId="11" xfId="0" applyBorder="1" applyAlignment="1">
      <alignment horizontal="center"/>
    </xf>
    <xf numFmtId="0" fontId="0" fillId="0" borderId="34" xfId="0" applyBorder="1" applyAlignment="1">
      <alignment horizontal="left"/>
    </xf>
    <xf numFmtId="0" fontId="0" fillId="0" borderId="35" xfId="0" applyBorder="1" applyAlignment="1">
      <alignment horizontal="center"/>
    </xf>
    <xf numFmtId="0" fontId="1" fillId="0" borderId="33" xfId="0" applyFont="1" applyBorder="1"/>
    <xf numFmtId="0" fontId="1" fillId="0" borderId="5" xfId="0" applyFont="1" applyBorder="1"/>
    <xf numFmtId="0" fontId="1" fillId="0" borderId="31" xfId="0" applyFont="1" applyBorder="1"/>
    <xf numFmtId="0" fontId="6" fillId="6" borderId="32" xfId="4" applyFont="1" applyFill="1" applyBorder="1"/>
    <xf numFmtId="0" fontId="0" fillId="6" borderId="1" xfId="0" applyFill="1" applyBorder="1"/>
    <xf numFmtId="0" fontId="0" fillId="6" borderId="12" xfId="0" applyFill="1" applyBorder="1"/>
    <xf numFmtId="0" fontId="0" fillId="0" borderId="4" xfId="0" applyFill="1" applyBorder="1"/>
    <xf numFmtId="166" fontId="0" fillId="0" borderId="11" xfId="0" applyNumberFormat="1" applyFill="1" applyBorder="1"/>
    <xf numFmtId="3" fontId="0" fillId="0" borderId="11" xfId="0" applyNumberFormat="1" applyBorder="1"/>
    <xf numFmtId="2" fontId="7" fillId="0" borderId="11" xfId="0" applyNumberFormat="1" applyFont="1" applyBorder="1"/>
    <xf numFmtId="170" fontId="0" fillId="0" borderId="11" xfId="2" applyNumberFormat="1" applyFont="1" applyBorder="1"/>
    <xf numFmtId="3" fontId="7" fillId="0" borderId="11" xfId="0" applyNumberFormat="1" applyFont="1" applyBorder="1"/>
    <xf numFmtId="0" fontId="7" fillId="0" borderId="11" xfId="0" applyFont="1" applyBorder="1"/>
    <xf numFmtId="3" fontId="0" fillId="0" borderId="12" xfId="0" applyNumberFormat="1" applyBorder="1"/>
    <xf numFmtId="0" fontId="4" fillId="0" borderId="0" xfId="0" applyFont="1" applyFill="1"/>
    <xf numFmtId="171" fontId="0" fillId="0" borderId="11" xfId="0" applyNumberFormat="1" applyBorder="1"/>
    <xf numFmtId="9" fontId="0" fillId="0" borderId="11" xfId="0" applyNumberFormat="1" applyBorder="1"/>
    <xf numFmtId="171" fontId="1" fillId="0" borderId="0" xfId="0" applyNumberFormat="1" applyFont="1"/>
    <xf numFmtId="171" fontId="1" fillId="0" borderId="11" xfId="0" applyNumberFormat="1" applyFont="1" applyBorder="1"/>
    <xf numFmtId="3" fontId="1" fillId="0" borderId="5" xfId="0" applyNumberFormat="1" applyFont="1" applyBorder="1"/>
    <xf numFmtId="3" fontId="1" fillId="0" borderId="31" xfId="0" applyNumberFormat="1" applyFont="1" applyBorder="1"/>
    <xf numFmtId="166" fontId="0" fillId="7" borderId="0" xfId="0" applyNumberFormat="1" applyFill="1"/>
    <xf numFmtId="164" fontId="0" fillId="7" borderId="0" xfId="1" applyNumberFormat="1" applyFont="1" applyFill="1"/>
    <xf numFmtId="3" fontId="1" fillId="7" borderId="1" xfId="0" applyNumberFormat="1" applyFont="1" applyFill="1" applyBorder="1"/>
    <xf numFmtId="164" fontId="0" fillId="7" borderId="0" xfId="1" applyNumberFormat="1" applyFont="1" applyFill="1" applyBorder="1"/>
    <xf numFmtId="3" fontId="0" fillId="7" borderId="0" xfId="0" applyNumberFormat="1" applyFill="1"/>
    <xf numFmtId="3" fontId="1" fillId="7" borderId="5" xfId="0" applyNumberFormat="1" applyFont="1" applyFill="1" applyBorder="1"/>
    <xf numFmtId="2" fontId="7" fillId="7" borderId="0" xfId="0" applyNumberFormat="1" applyFont="1" applyFill="1"/>
    <xf numFmtId="170" fontId="0" fillId="7" borderId="0" xfId="2" applyNumberFormat="1" applyFont="1" applyFill="1"/>
    <xf numFmtId="170" fontId="0" fillId="7" borderId="0" xfId="0" applyNumberFormat="1" applyFill="1"/>
    <xf numFmtId="0" fontId="0" fillId="7" borderId="0" xfId="0" applyFill="1"/>
    <xf numFmtId="164" fontId="0" fillId="7" borderId="0" xfId="0" applyNumberFormat="1" applyFill="1"/>
    <xf numFmtId="0" fontId="0" fillId="7" borderId="1" xfId="0" applyFill="1" applyBorder="1"/>
    <xf numFmtId="3" fontId="0" fillId="7" borderId="1" xfId="0" applyNumberFormat="1" applyFill="1" applyBorder="1"/>
    <xf numFmtId="0" fontId="1" fillId="7" borderId="1" xfId="0" applyFont="1" applyFill="1" applyBorder="1"/>
    <xf numFmtId="3" fontId="0" fillId="0" borderId="13" xfId="0" applyNumberFormat="1" applyBorder="1"/>
    <xf numFmtId="3" fontId="0" fillId="0" borderId="14" xfId="0" applyNumberFormat="1" applyBorder="1"/>
    <xf numFmtId="0" fontId="0" fillId="7" borderId="13" xfId="0" applyFill="1" applyBorder="1"/>
    <xf numFmtId="0" fontId="0" fillId="0" borderId="11" xfId="0" applyFont="1" applyBorder="1"/>
    <xf numFmtId="1" fontId="0" fillId="7" borderId="0" xfId="0" applyNumberFormat="1" applyFont="1" applyFill="1"/>
    <xf numFmtId="166" fontId="1" fillId="2" borderId="36" xfId="0" applyNumberFormat="1" applyFont="1" applyFill="1" applyBorder="1"/>
    <xf numFmtId="0" fontId="0" fillId="0" borderId="0" xfId="0"/>
    <xf numFmtId="0" fontId="0" fillId="0" borderId="0" xfId="0"/>
    <xf numFmtId="0" fontId="8" fillId="0" borderId="0" xfId="0" applyFont="1"/>
    <xf numFmtId="0" fontId="1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0" borderId="30" xfId="0" applyBorder="1"/>
    <xf numFmtId="0" fontId="0" fillId="0" borderId="34" xfId="0" applyBorder="1"/>
    <xf numFmtId="0" fontId="0" fillId="6" borderId="32" xfId="0" applyFill="1" applyBorder="1"/>
    <xf numFmtId="166" fontId="0" fillId="7" borderId="0" xfId="0" applyNumberFormat="1" applyFill="1" applyBorder="1"/>
    <xf numFmtId="171" fontId="0" fillId="7" borderId="0" xfId="1" applyNumberFormat="1" applyFont="1" applyFill="1"/>
    <xf numFmtId="171" fontId="0" fillId="7" borderId="1" xfId="1" applyNumberFormat="1" applyFont="1" applyFill="1" applyBorder="1"/>
    <xf numFmtId="171" fontId="0" fillId="7" borderId="5" xfId="1" applyNumberFormat="1" applyFont="1" applyFill="1" applyBorder="1"/>
    <xf numFmtId="171" fontId="1" fillId="7" borderId="1" xfId="1" applyNumberFormat="1" applyFont="1" applyFill="1" applyBorder="1"/>
    <xf numFmtId="171" fontId="0" fillId="7" borderId="0" xfId="1" applyNumberFormat="1" applyFont="1" applyFill="1" applyBorder="1"/>
    <xf numFmtId="171" fontId="0" fillId="7" borderId="0" xfId="0" applyNumberFormat="1" applyFill="1"/>
    <xf numFmtId="171" fontId="7" fillId="7" borderId="0" xfId="0" applyNumberFormat="1" applyFont="1" applyFill="1"/>
    <xf numFmtId="43" fontId="0" fillId="7" borderId="0" xfId="0" applyNumberFormat="1" applyFill="1"/>
    <xf numFmtId="171" fontId="1" fillId="7" borderId="0" xfId="0" applyNumberFormat="1" applyFont="1" applyFill="1"/>
    <xf numFmtId="9" fontId="0" fillId="7" borderId="0" xfId="0" applyNumberFormat="1" applyFill="1"/>
    <xf numFmtId="0" fontId="1" fillId="0" borderId="33" xfId="0" applyFont="1" applyBorder="1" applyAlignment="1">
      <alignment horizontal="right"/>
    </xf>
    <xf numFmtId="3" fontId="0" fillId="0" borderId="0" xfId="0" applyNumberFormat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3" fontId="0" fillId="0" borderId="10" xfId="0" applyNumberFormat="1" applyBorder="1" applyAlignment="1">
      <alignment horizontal="center"/>
    </xf>
    <xf numFmtId="3" fontId="0" fillId="0" borderId="35" xfId="0" applyNumberForma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166" fontId="1" fillId="2" borderId="2" xfId="0" applyNumberFormat="1" applyFont="1" applyFill="1" applyBorder="1"/>
    <xf numFmtId="166" fontId="1" fillId="2" borderId="3" xfId="0" applyNumberFormat="1" applyFont="1" applyFill="1" applyBorder="1"/>
    <xf numFmtId="166" fontId="1" fillId="2" borderId="6" xfId="0" applyNumberFormat="1" applyFont="1" applyFill="1" applyBorder="1"/>
    <xf numFmtId="9" fontId="0" fillId="0" borderId="7" xfId="2" applyFont="1" applyBorder="1" applyAlignment="1">
      <alignment horizontal="center"/>
    </xf>
    <xf numFmtId="168" fontId="0" fillId="0" borderId="27" xfId="0" applyNumberFormat="1" applyBorder="1" applyAlignment="1">
      <alignment horizontal="center"/>
    </xf>
    <xf numFmtId="170" fontId="0" fillId="0" borderId="27" xfId="0" applyNumberFormat="1" applyBorder="1" applyAlignment="1">
      <alignment horizontal="center"/>
    </xf>
    <xf numFmtId="0" fontId="0" fillId="0" borderId="27" xfId="0" applyBorder="1" applyAlignment="1">
      <alignment horizontal="center"/>
    </xf>
    <xf numFmtId="170" fontId="0" fillId="0" borderId="7" xfId="2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8" xfId="0" applyBorder="1" applyAlignment="1">
      <alignment horizontal="center"/>
    </xf>
    <xf numFmtId="170" fontId="0" fillId="0" borderId="25" xfId="2" applyNumberFormat="1" applyFont="1" applyBorder="1" applyAlignment="1">
      <alignment horizontal="center"/>
    </xf>
    <xf numFmtId="9" fontId="0" fillId="0" borderId="38" xfId="0" applyNumberFormat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1" xfId="0" applyBorder="1"/>
    <xf numFmtId="0" fontId="0" fillId="0" borderId="8" xfId="0" applyBorder="1"/>
    <xf numFmtId="2" fontId="0" fillId="0" borderId="40" xfId="2" applyNumberFormat="1" applyFont="1" applyBorder="1" applyAlignment="1">
      <alignment horizontal="center"/>
    </xf>
    <xf numFmtId="9" fontId="0" fillId="0" borderId="40" xfId="2" applyFont="1" applyBorder="1" applyAlignment="1">
      <alignment horizontal="center"/>
    </xf>
    <xf numFmtId="9" fontId="0" fillId="0" borderId="42" xfId="0" applyNumberFormat="1" applyBorder="1" applyAlignment="1">
      <alignment horizontal="center"/>
    </xf>
    <xf numFmtId="9" fontId="0" fillId="0" borderId="8" xfId="2" applyFont="1" applyBorder="1" applyAlignment="1">
      <alignment horizontal="center"/>
    </xf>
    <xf numFmtId="0" fontId="1" fillId="6" borderId="22" xfId="0" applyFont="1" applyFill="1" applyBorder="1"/>
    <xf numFmtId="0" fontId="1" fillId="6" borderId="19" xfId="0" applyFont="1" applyFill="1" applyBorder="1"/>
    <xf numFmtId="0" fontId="1" fillId="6" borderId="26" xfId="0" applyFont="1" applyFill="1" applyBorder="1"/>
    <xf numFmtId="0" fontId="1" fillId="6" borderId="37" xfId="0" applyFont="1" applyFill="1" applyBorder="1"/>
    <xf numFmtId="0" fontId="1" fillId="6" borderId="18" xfId="0" applyFont="1" applyFill="1" applyBorder="1" applyAlignment="1">
      <alignment horizontal="center"/>
    </xf>
    <xf numFmtId="44" fontId="0" fillId="0" borderId="28" xfId="3" applyFont="1" applyBorder="1"/>
    <xf numFmtId="44" fontId="0" fillId="0" borderId="18" xfId="3" applyFont="1" applyBorder="1"/>
    <xf numFmtId="0" fontId="0" fillId="0" borderId="18" xfId="0" applyBorder="1" applyAlignment="1">
      <alignment horizontal="center"/>
    </xf>
    <xf numFmtId="168" fontId="0" fillId="0" borderId="0" xfId="0" applyNumberFormat="1" applyFill="1"/>
    <xf numFmtId="166" fontId="1" fillId="2" borderId="0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165" fontId="1" fillId="0" borderId="17" xfId="1" applyNumberFormat="1" applyFont="1" applyBorder="1"/>
    <xf numFmtId="0" fontId="0" fillId="6" borderId="0" xfId="0" applyFill="1"/>
    <xf numFmtId="0" fontId="14" fillId="0" borderId="0" xfId="0" applyFont="1" applyFill="1" applyAlignment="1">
      <alignment vertical="center"/>
    </xf>
    <xf numFmtId="0" fontId="1" fillId="6" borderId="0" xfId="0" applyFont="1" applyFill="1"/>
    <xf numFmtId="0" fontId="1" fillId="3" borderId="0" xfId="0" applyFont="1" applyFill="1"/>
    <xf numFmtId="0" fontId="1" fillId="8" borderId="0" xfId="0" applyFont="1" applyFill="1"/>
    <xf numFmtId="0" fontId="0" fillId="0" borderId="0" xfId="0"/>
    <xf numFmtId="0" fontId="1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3" fillId="5" borderId="0" xfId="0" applyFont="1" applyFill="1" applyAlignment="1">
      <alignment vertical="center"/>
    </xf>
    <xf numFmtId="0" fontId="15" fillId="0" borderId="30" xfId="0" applyFont="1" applyBorder="1" applyAlignment="1">
      <alignment horizontal="left"/>
    </xf>
    <xf numFmtId="165" fontId="15" fillId="0" borderId="0" xfId="1" applyNumberFormat="1" applyFont="1"/>
    <xf numFmtId="9" fontId="15" fillId="0" borderId="0" xfId="2" applyFont="1"/>
    <xf numFmtId="164" fontId="16" fillId="0" borderId="0" xfId="1" applyNumberFormat="1" applyFont="1" applyFill="1" applyAlignment="1">
      <alignment horizontal="right" wrapText="1"/>
    </xf>
    <xf numFmtId="164" fontId="15" fillId="0" borderId="0" xfId="1" applyNumberFormat="1" applyFont="1"/>
    <xf numFmtId="0" fontId="15" fillId="0" borderId="11" xfId="0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0" xfId="0" applyFont="1"/>
    <xf numFmtId="3" fontId="15" fillId="0" borderId="0" xfId="0" applyNumberFormat="1" applyFont="1"/>
    <xf numFmtId="3" fontId="15" fillId="0" borderId="11" xfId="0" applyNumberFormat="1" applyFont="1" applyBorder="1"/>
    <xf numFmtId="0" fontId="15" fillId="0" borderId="11" xfId="0" applyFont="1" applyBorder="1"/>
    <xf numFmtId="44" fontId="0" fillId="0" borderId="1" xfId="3" applyFont="1" applyBorder="1"/>
    <xf numFmtId="0" fontId="1" fillId="9" borderId="0" xfId="0" applyFont="1" applyFill="1"/>
    <xf numFmtId="0" fontId="0" fillId="0" borderId="32" xfId="0" applyBorder="1"/>
    <xf numFmtId="10" fontId="0" fillId="0" borderId="12" xfId="2" applyNumberFormat="1" applyFont="1" applyBorder="1"/>
    <xf numFmtId="8" fontId="0" fillId="0" borderId="35" xfId="3" applyNumberFormat="1" applyFont="1" applyBorder="1"/>
    <xf numFmtId="0" fontId="1" fillId="0" borderId="32" xfId="0" applyFont="1" applyBorder="1"/>
    <xf numFmtId="0" fontId="1" fillId="0" borderId="34" xfId="0" applyFont="1" applyBorder="1"/>
    <xf numFmtId="44" fontId="0" fillId="0" borderId="35" xfId="3" applyFont="1" applyBorder="1"/>
    <xf numFmtId="10" fontId="0" fillId="0" borderId="35" xfId="2" applyNumberFormat="1" applyFont="1" applyBorder="1"/>
    <xf numFmtId="0" fontId="9" fillId="0" borderId="0" xfId="0" applyFont="1" applyBorder="1" applyAlignment="1">
      <alignment horizontal="center" wrapText="1" readingOrder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  <xf numFmtId="0" fontId="11" fillId="0" borderId="0" xfId="0" applyFont="1"/>
    <xf numFmtId="0" fontId="0" fillId="0" borderId="22" xfId="0" applyBorder="1"/>
    <xf numFmtId="0" fontId="0" fillId="0" borderId="17" xfId="0" applyBorder="1"/>
    <xf numFmtId="164" fontId="0" fillId="0" borderId="19" xfId="1" applyNumberFormat="1" applyFont="1" applyBorder="1"/>
    <xf numFmtId="0" fontId="15" fillId="0" borderId="7" xfId="0" applyFont="1" applyBorder="1"/>
    <xf numFmtId="0" fontId="1" fillId="0" borderId="43" xfId="0" applyFont="1" applyBorder="1"/>
    <xf numFmtId="0" fontId="0" fillId="0" borderId="16" xfId="0" applyBorder="1"/>
    <xf numFmtId="10" fontId="0" fillId="0" borderId="44" xfId="2" applyNumberFormat="1" applyFont="1" applyBorder="1"/>
    <xf numFmtId="0" fontId="11" fillId="11" borderId="0" xfId="0" applyFont="1" applyFill="1" applyAlignment="1">
      <alignment vertical="center"/>
    </xf>
    <xf numFmtId="0" fontId="1" fillId="11" borderId="0" xfId="0" applyFont="1" applyFill="1"/>
    <xf numFmtId="0" fontId="1" fillId="0" borderId="13" xfId="0" applyFont="1" applyBorder="1"/>
    <xf numFmtId="0" fontId="0" fillId="11" borderId="0" xfId="0" applyFill="1"/>
    <xf numFmtId="0" fontId="0" fillId="12" borderId="0" xfId="0" applyFill="1"/>
    <xf numFmtId="0" fontId="8" fillId="6" borderId="18" xfId="0" applyFont="1" applyFill="1" applyBorder="1" applyAlignment="1">
      <alignment horizontal="center"/>
    </xf>
    <xf numFmtId="43" fontId="1" fillId="0" borderId="0" xfId="1" applyFont="1"/>
    <xf numFmtId="0" fontId="1" fillId="11" borderId="13" xfId="0" applyFont="1" applyFill="1" applyBorder="1"/>
    <xf numFmtId="0" fontId="0" fillId="11" borderId="13" xfId="0" applyFill="1" applyBorder="1"/>
    <xf numFmtId="3" fontId="1" fillId="11" borderId="13" xfId="0" applyNumberFormat="1" applyFont="1" applyFill="1" applyBorder="1"/>
    <xf numFmtId="3" fontId="1" fillId="11" borderId="14" xfId="0" applyNumberFormat="1" applyFont="1" applyFill="1" applyBorder="1"/>
    <xf numFmtId="165" fontId="1" fillId="11" borderId="13" xfId="1" applyNumberFormat="1" applyFont="1" applyFill="1" applyBorder="1"/>
    <xf numFmtId="0" fontId="1" fillId="11" borderId="15" xfId="0" applyFont="1" applyFill="1" applyBorder="1"/>
    <xf numFmtId="165" fontId="0" fillId="11" borderId="13" xfId="1" applyNumberFormat="1" applyFont="1" applyFill="1" applyBorder="1"/>
    <xf numFmtId="15" fontId="7" fillId="0" borderId="0" xfId="0" applyNumberFormat="1" applyFont="1"/>
    <xf numFmtId="44" fontId="7" fillId="0" borderId="0" xfId="3" applyFont="1"/>
    <xf numFmtId="9" fontId="7" fillId="0" borderId="0" xfId="0" applyNumberFormat="1" applyFont="1"/>
  </cellXfs>
  <cellStyles count="10">
    <cellStyle name="Comma" xfId="1" builtinId="3"/>
    <cellStyle name="Comma 2" xfId="5" xr:uid="{00000000-0005-0000-0000-00002F000000}"/>
    <cellStyle name="Comma 3" xfId="8" xr:uid="{00000000-0005-0000-0000-000033000000}"/>
    <cellStyle name="Currency" xfId="3" builtinId="4"/>
    <cellStyle name="Currency 2" xfId="6" xr:uid="{00000000-0005-0000-0000-000030000000}"/>
    <cellStyle name="Currency 3" xfId="9" xr:uid="{00000000-0005-0000-0000-000034000000}"/>
    <cellStyle name="Normal" xfId="0" builtinId="0"/>
    <cellStyle name="Normal 2" xfId="4" xr:uid="{00000000-0005-0000-0000-000032000000}"/>
    <cellStyle name="Percent" xfId="2" builtinId="5"/>
    <cellStyle name="Percent 2" xfId="7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tudy%20material/Upload%20Assignment%20(File%20responses)/LinkedIn%20and%20MicrosSoft%20Merger%20%20Shivansh%20Sadana%20-%20Shivansh%20Sadan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duction"/>
      <sheetName val="Synergy"/>
      <sheetName val="Acquirer's Data"/>
      <sheetName val="Target's Data"/>
      <sheetName val="Merger Model"/>
      <sheetName val="Combined Balancesheet"/>
    </sheetNames>
    <sheetDataSet>
      <sheetData sheetId="0"/>
      <sheetData sheetId="1"/>
      <sheetData sheetId="2"/>
      <sheetData sheetId="3"/>
      <sheetData sheetId="4"/>
      <sheetData sheetId="5">
        <row r="52">
          <cell r="G52">
            <v>-4628.6798002476989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50BC7-8337-4854-9E58-0E9DECAFD3D6}">
  <dimension ref="B3:J33"/>
  <sheetViews>
    <sheetView showGridLines="0" tabSelected="1" zoomScale="70" workbookViewId="0">
      <selection activeCell="B1" sqref="B1"/>
    </sheetView>
  </sheetViews>
  <sheetFormatPr defaultRowHeight="15" x14ac:dyDescent="0.25"/>
  <sheetData>
    <row r="3" spans="2:10" x14ac:dyDescent="0.25">
      <c r="B3" s="238" t="s">
        <v>0</v>
      </c>
      <c r="C3" s="238"/>
      <c r="D3" s="238"/>
      <c r="E3" s="238"/>
      <c r="F3" s="238"/>
      <c r="G3" s="238"/>
      <c r="H3" s="238"/>
      <c r="I3" s="238"/>
      <c r="J3" s="236"/>
    </row>
    <row r="5" spans="2:10" x14ac:dyDescent="0.25">
      <c r="B5" s="1" t="s">
        <v>1</v>
      </c>
    </row>
    <row r="6" spans="2:10" x14ac:dyDescent="0.25">
      <c r="B6" t="s">
        <v>2</v>
      </c>
    </row>
    <row r="8" spans="2:10" x14ac:dyDescent="0.25">
      <c r="B8" s="1" t="s">
        <v>3</v>
      </c>
    </row>
    <row r="10" spans="2:10" x14ac:dyDescent="0.25">
      <c r="B10" s="1" t="s">
        <v>4</v>
      </c>
    </row>
    <row r="11" spans="2:10" x14ac:dyDescent="0.25">
      <c r="B11" t="s">
        <v>5</v>
      </c>
    </row>
    <row r="12" spans="2:10" x14ac:dyDescent="0.25">
      <c r="B12" t="s">
        <v>6</v>
      </c>
    </row>
    <row r="13" spans="2:10" x14ac:dyDescent="0.25">
      <c r="B13" t="s">
        <v>7</v>
      </c>
    </row>
    <row r="15" spans="2:10" x14ac:dyDescent="0.25">
      <c r="B15" s="1" t="s">
        <v>8</v>
      </c>
    </row>
    <row r="16" spans="2:10" x14ac:dyDescent="0.25">
      <c r="B16" t="s">
        <v>9</v>
      </c>
    </row>
    <row r="17" spans="2:2" x14ac:dyDescent="0.25">
      <c r="B17" t="s">
        <v>10</v>
      </c>
    </row>
    <row r="18" spans="2:2" x14ac:dyDescent="0.25">
      <c r="B18" t="s">
        <v>11</v>
      </c>
    </row>
    <row r="19" spans="2:2" x14ac:dyDescent="0.25">
      <c r="B19" t="s">
        <v>12</v>
      </c>
    </row>
    <row r="20" spans="2:2" x14ac:dyDescent="0.25">
      <c r="B20" t="s">
        <v>13</v>
      </c>
    </row>
    <row r="21" spans="2:2" x14ac:dyDescent="0.25">
      <c r="B21" t="s">
        <v>14</v>
      </c>
    </row>
    <row r="23" spans="2:2" x14ac:dyDescent="0.25">
      <c r="B23" s="1" t="s">
        <v>15</v>
      </c>
    </row>
    <row r="24" spans="2:2" x14ac:dyDescent="0.25">
      <c r="B24" t="s">
        <v>16</v>
      </c>
    </row>
    <row r="25" spans="2:2" x14ac:dyDescent="0.25">
      <c r="B25" t="s">
        <v>17</v>
      </c>
    </row>
    <row r="26" spans="2:2" x14ac:dyDescent="0.25">
      <c r="B26" t="s">
        <v>18</v>
      </c>
    </row>
    <row r="28" spans="2:2" x14ac:dyDescent="0.25">
      <c r="B28" s="1" t="s">
        <v>19</v>
      </c>
    </row>
    <row r="29" spans="2:2" x14ac:dyDescent="0.25">
      <c r="B29" t="s">
        <v>20</v>
      </c>
    </row>
    <row r="30" spans="2:2" x14ac:dyDescent="0.25">
      <c r="B30" t="s">
        <v>21</v>
      </c>
    </row>
    <row r="32" spans="2:2" x14ac:dyDescent="0.25">
      <c r="B32" s="1" t="s">
        <v>22</v>
      </c>
    </row>
    <row r="33" spans="2:2" x14ac:dyDescent="0.25">
      <c r="B33" t="s">
        <v>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822A3-E07C-41BC-A070-8F812F63E634}">
  <dimension ref="B2:M74"/>
  <sheetViews>
    <sheetView showGridLines="0" topLeftCell="A23" zoomScale="80" zoomScaleNormal="100" workbookViewId="0">
      <selection activeCell="A36" sqref="A36"/>
    </sheetView>
  </sheetViews>
  <sheetFormatPr defaultRowHeight="15" x14ac:dyDescent="0.25"/>
  <cols>
    <col min="2" max="2" width="39.28515625" customWidth="1"/>
    <col min="3" max="3" width="37.140625" customWidth="1"/>
    <col min="4" max="4" width="45.42578125" customWidth="1"/>
  </cols>
  <sheetData>
    <row r="2" spans="2:4" x14ac:dyDescent="0.25">
      <c r="B2" s="270" t="s">
        <v>359</v>
      </c>
      <c r="C2" s="270"/>
      <c r="D2" s="270"/>
    </row>
    <row r="3" spans="2:4" x14ac:dyDescent="0.25">
      <c r="B3" s="270" t="s">
        <v>360</v>
      </c>
      <c r="C3" s="270"/>
      <c r="D3" s="270"/>
    </row>
    <row r="4" spans="2:4" x14ac:dyDescent="0.25">
      <c r="B4" s="270" t="s">
        <v>361</v>
      </c>
      <c r="C4" s="270"/>
      <c r="D4" s="270"/>
    </row>
    <row r="6" spans="2:4" x14ac:dyDescent="0.25">
      <c r="B6" s="239" t="s">
        <v>323</v>
      </c>
      <c r="D6" s="240" t="s">
        <v>185</v>
      </c>
    </row>
    <row r="7" spans="2:4" x14ac:dyDescent="0.25">
      <c r="B7" s="7" t="s">
        <v>385</v>
      </c>
      <c r="D7" s="241" t="s">
        <v>390</v>
      </c>
    </row>
    <row r="8" spans="2:4" x14ac:dyDescent="0.25">
      <c r="B8" s="6" t="s">
        <v>386</v>
      </c>
      <c r="D8" s="7" t="s">
        <v>391</v>
      </c>
    </row>
    <row r="9" spans="2:4" x14ac:dyDescent="0.25">
      <c r="B9" s="7" t="s">
        <v>393</v>
      </c>
      <c r="D9" s="7" t="s">
        <v>392</v>
      </c>
    </row>
    <row r="10" spans="2:4" x14ac:dyDescent="0.25">
      <c r="B10" s="6" t="s">
        <v>394</v>
      </c>
      <c r="D10" s="6" t="s">
        <v>387</v>
      </c>
    </row>
    <row r="11" spans="2:4" x14ac:dyDescent="0.25">
      <c r="B11" s="7" t="s">
        <v>324</v>
      </c>
      <c r="D11" s="7" t="s">
        <v>325</v>
      </c>
    </row>
    <row r="12" spans="2:4" x14ac:dyDescent="0.25">
      <c r="B12" s="7" t="s">
        <v>326</v>
      </c>
      <c r="D12" s="7" t="s">
        <v>327</v>
      </c>
    </row>
    <row r="13" spans="2:4" x14ac:dyDescent="0.25">
      <c r="B13" s="7" t="s">
        <v>328</v>
      </c>
      <c r="D13" s="7" t="s">
        <v>329</v>
      </c>
    </row>
    <row r="14" spans="2:4" x14ac:dyDescent="0.25">
      <c r="B14" s="7" t="s">
        <v>388</v>
      </c>
      <c r="D14" s="7" t="s">
        <v>330</v>
      </c>
    </row>
    <row r="15" spans="2:4" x14ac:dyDescent="0.25">
      <c r="B15" s="7" t="s">
        <v>331</v>
      </c>
      <c r="D15" s="7" t="s">
        <v>389</v>
      </c>
    </row>
    <row r="18" spans="2:2" x14ac:dyDescent="0.25">
      <c r="B18" s="121" t="s">
        <v>332</v>
      </c>
    </row>
    <row r="19" spans="2:2" x14ac:dyDescent="0.25">
      <c r="B19" s="119" t="s">
        <v>352</v>
      </c>
    </row>
    <row r="20" spans="2:2" x14ac:dyDescent="0.25">
      <c r="B20" s="119" t="s">
        <v>353</v>
      </c>
    </row>
    <row r="21" spans="2:2" x14ac:dyDescent="0.25">
      <c r="B21" s="119" t="s">
        <v>354</v>
      </c>
    </row>
    <row r="22" spans="2:2" x14ac:dyDescent="0.25">
      <c r="B22" s="119" t="s">
        <v>355</v>
      </c>
    </row>
    <row r="23" spans="2:2" x14ac:dyDescent="0.25">
      <c r="B23" s="119" t="s">
        <v>356</v>
      </c>
    </row>
    <row r="24" spans="2:2" x14ac:dyDescent="0.25">
      <c r="B24" s="119"/>
    </row>
    <row r="25" spans="2:2" x14ac:dyDescent="0.25">
      <c r="B25" s="117" t="s">
        <v>333</v>
      </c>
    </row>
    <row r="26" spans="2:2" x14ac:dyDescent="0.25">
      <c r="B26" s="120" t="s">
        <v>334</v>
      </c>
    </row>
    <row r="27" spans="2:2" x14ac:dyDescent="0.25">
      <c r="B27" s="120" t="s">
        <v>335</v>
      </c>
    </row>
    <row r="28" spans="2:2" x14ac:dyDescent="0.25">
      <c r="B28" s="118"/>
    </row>
    <row r="29" spans="2:2" x14ac:dyDescent="0.25">
      <c r="B29" s="117" t="s">
        <v>336</v>
      </c>
    </row>
    <row r="30" spans="2:2" x14ac:dyDescent="0.25">
      <c r="B30" s="122" t="s">
        <v>357</v>
      </c>
    </row>
    <row r="31" spans="2:2" x14ac:dyDescent="0.25">
      <c r="B31" s="122" t="s">
        <v>358</v>
      </c>
    </row>
    <row r="33" spans="13:13" s="283" customFormat="1" x14ac:dyDescent="0.25"/>
    <row r="47" spans="13:13" x14ac:dyDescent="0.25">
      <c r="M47" s="6"/>
    </row>
    <row r="61" spans="5:5" x14ac:dyDescent="0.25">
      <c r="E61" s="6"/>
    </row>
    <row r="68" spans="5:5" x14ac:dyDescent="0.25">
      <c r="E68" s="6"/>
    </row>
    <row r="72" spans="5:5" x14ac:dyDescent="0.25">
      <c r="E72" s="6"/>
    </row>
    <row r="74" spans="5:5" x14ac:dyDescent="0.25">
      <c r="E74" s="76"/>
    </row>
  </sheetData>
  <mergeCells count="3">
    <mergeCell ref="B2:D2"/>
    <mergeCell ref="B3:D3"/>
    <mergeCell ref="B4:D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D1508-C77F-42F8-AF53-A76F6FAFBA71}">
  <dimension ref="B4:B51"/>
  <sheetViews>
    <sheetView showGridLines="0" topLeftCell="A36" zoomScale="80" workbookViewId="0">
      <selection activeCell="A51" sqref="A51:XFD51"/>
    </sheetView>
  </sheetViews>
  <sheetFormatPr defaultRowHeight="15" x14ac:dyDescent="0.25"/>
  <cols>
    <col min="2" max="2" width="127" customWidth="1"/>
  </cols>
  <sheetData>
    <row r="4" spans="2:2" ht="58.5" x14ac:dyDescent="0.25">
      <c r="B4" s="123" t="s">
        <v>362</v>
      </c>
    </row>
    <row r="7" spans="2:2" ht="15.75" x14ac:dyDescent="0.25">
      <c r="B7" s="126" t="s">
        <v>337</v>
      </c>
    </row>
    <row r="8" spans="2:2" ht="44.25" x14ac:dyDescent="0.25">
      <c r="B8" s="127" t="s">
        <v>363</v>
      </c>
    </row>
    <row r="9" spans="2:2" x14ac:dyDescent="0.25">
      <c r="B9" s="128"/>
    </row>
    <row r="10" spans="2:2" x14ac:dyDescent="0.25">
      <c r="B10" s="125" t="s">
        <v>364</v>
      </c>
    </row>
    <row r="11" spans="2:2" x14ac:dyDescent="0.25">
      <c r="B11" s="129" t="s">
        <v>365</v>
      </c>
    </row>
    <row r="12" spans="2:2" x14ac:dyDescent="0.25">
      <c r="B12" s="129" t="s">
        <v>338</v>
      </c>
    </row>
    <row r="13" spans="2:2" x14ac:dyDescent="0.25">
      <c r="B13" s="125" t="s">
        <v>366</v>
      </c>
    </row>
    <row r="14" spans="2:2" x14ac:dyDescent="0.25">
      <c r="B14" s="129" t="s">
        <v>367</v>
      </c>
    </row>
    <row r="15" spans="2:2" x14ac:dyDescent="0.25">
      <c r="B15" s="130" t="s">
        <v>339</v>
      </c>
    </row>
    <row r="16" spans="2:2" x14ac:dyDescent="0.25">
      <c r="B16" s="130" t="s">
        <v>340</v>
      </c>
    </row>
    <row r="17" spans="2:2" x14ac:dyDescent="0.25">
      <c r="B17" s="130" t="s">
        <v>341</v>
      </c>
    </row>
    <row r="18" spans="2:2" x14ac:dyDescent="0.25">
      <c r="B18" s="129" t="s">
        <v>342</v>
      </c>
    </row>
    <row r="19" spans="2:2" x14ac:dyDescent="0.25">
      <c r="B19" s="125" t="s">
        <v>368</v>
      </c>
    </row>
    <row r="20" spans="2:2" x14ac:dyDescent="0.25">
      <c r="B20" s="129" t="s">
        <v>369</v>
      </c>
    </row>
    <row r="21" spans="2:2" x14ac:dyDescent="0.25">
      <c r="B21" s="129" t="s">
        <v>370</v>
      </c>
    </row>
    <row r="22" spans="2:2" x14ac:dyDescent="0.25">
      <c r="B22" s="125" t="s">
        <v>371</v>
      </c>
    </row>
    <row r="23" spans="2:2" x14ac:dyDescent="0.25">
      <c r="B23" s="130" t="s">
        <v>343</v>
      </c>
    </row>
    <row r="24" spans="2:2" x14ac:dyDescent="0.25">
      <c r="B24" s="125" t="s">
        <v>372</v>
      </c>
    </row>
    <row r="25" spans="2:2" x14ac:dyDescent="0.25">
      <c r="B25" s="130" t="s">
        <v>373</v>
      </c>
    </row>
    <row r="26" spans="2:2" x14ac:dyDescent="0.25">
      <c r="B26" s="130" t="s">
        <v>374</v>
      </c>
    </row>
    <row r="29" spans="2:2" ht="15.75" x14ac:dyDescent="0.25">
      <c r="B29" s="244" t="s">
        <v>344</v>
      </c>
    </row>
    <row r="30" spans="2:2" s="241" customFormat="1" ht="18" x14ac:dyDescent="0.25">
      <c r="B30" s="237"/>
    </row>
    <row r="31" spans="2:2" x14ac:dyDescent="0.25">
      <c r="B31" s="125" t="s">
        <v>345</v>
      </c>
    </row>
    <row r="32" spans="2:2" x14ac:dyDescent="0.25">
      <c r="B32" s="131" t="s">
        <v>323</v>
      </c>
    </row>
    <row r="33" spans="2:2" x14ac:dyDescent="0.25">
      <c r="B33" s="132" t="s">
        <v>375</v>
      </c>
    </row>
    <row r="34" spans="2:2" x14ac:dyDescent="0.25">
      <c r="B34" s="131" t="s">
        <v>185</v>
      </c>
    </row>
    <row r="35" spans="2:2" x14ac:dyDescent="0.25">
      <c r="B35" s="132" t="s">
        <v>376</v>
      </c>
    </row>
    <row r="36" spans="2:2" x14ac:dyDescent="0.25">
      <c r="B36" s="132" t="s">
        <v>377</v>
      </c>
    </row>
    <row r="38" spans="2:2" x14ac:dyDescent="0.25">
      <c r="B38" s="125" t="s">
        <v>346</v>
      </c>
    </row>
    <row r="39" spans="2:2" x14ac:dyDescent="0.25">
      <c r="B39" s="131" t="s">
        <v>323</v>
      </c>
    </row>
    <row r="40" spans="2:2" x14ac:dyDescent="0.25">
      <c r="B40" s="132" t="s">
        <v>378</v>
      </c>
    </row>
    <row r="41" spans="2:2" x14ac:dyDescent="0.25">
      <c r="B41" s="131" t="s">
        <v>185</v>
      </c>
    </row>
    <row r="42" spans="2:2" x14ac:dyDescent="0.25">
      <c r="B42" s="132" t="s">
        <v>379</v>
      </c>
    </row>
    <row r="44" spans="2:2" x14ac:dyDescent="0.25">
      <c r="B44" s="125" t="s">
        <v>347</v>
      </c>
    </row>
    <row r="45" spans="2:2" x14ac:dyDescent="0.25">
      <c r="B45" s="132" t="s">
        <v>348</v>
      </c>
    </row>
    <row r="46" spans="2:2" x14ac:dyDescent="0.25">
      <c r="B46" s="132" t="s">
        <v>349</v>
      </c>
    </row>
    <row r="47" spans="2:2" x14ac:dyDescent="0.25">
      <c r="B47" s="132" t="s">
        <v>350</v>
      </c>
    </row>
    <row r="48" spans="2:2" x14ac:dyDescent="0.25">
      <c r="B48" s="132" t="s">
        <v>351</v>
      </c>
    </row>
    <row r="51" s="283" customForma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1C536-D3F9-4507-8D06-384CD63DED53}">
  <dimension ref="A2:R132"/>
  <sheetViews>
    <sheetView showGridLines="0" zoomScale="85" zoomScaleNormal="70" workbookViewId="0">
      <pane ySplit="495" topLeftCell="A124" activePane="bottomLeft"/>
      <selection pane="bottomLeft" activeCell="A132" sqref="A132:XFD132"/>
    </sheetView>
  </sheetViews>
  <sheetFormatPr defaultRowHeight="15" x14ac:dyDescent="0.25"/>
  <cols>
    <col min="2" max="2" width="37.42578125" bestFit="1" customWidth="1"/>
    <col min="4" max="4" width="11.5703125" bestFit="1" customWidth="1"/>
    <col min="5" max="5" width="9.42578125" bestFit="1" customWidth="1"/>
    <col min="6" max="6" width="10.140625" bestFit="1" customWidth="1"/>
    <col min="7" max="7" width="14.42578125" customWidth="1"/>
    <col min="8" max="8" width="9.85546875" bestFit="1" customWidth="1"/>
    <col min="9" max="9" width="16" bestFit="1" customWidth="1"/>
    <col min="10" max="10" width="12.5703125" customWidth="1"/>
    <col min="11" max="11" width="11.42578125" bestFit="1" customWidth="1"/>
    <col min="12" max="12" width="11.85546875" customWidth="1"/>
    <col min="13" max="13" width="10.7109375" bestFit="1" customWidth="1"/>
    <col min="14" max="14" width="10" bestFit="1" customWidth="1"/>
    <col min="15" max="15" width="9.28515625" bestFit="1" customWidth="1"/>
    <col min="17" max="17" width="11" bestFit="1" customWidth="1"/>
  </cols>
  <sheetData>
    <row r="2" spans="1:17" x14ac:dyDescent="0.25">
      <c r="A2" s="279" t="s">
        <v>359</v>
      </c>
      <c r="B2" s="280"/>
    </row>
    <row r="3" spans="1:17" x14ac:dyDescent="0.25">
      <c r="A3" s="181" t="s">
        <v>360</v>
      </c>
      <c r="B3" s="5"/>
    </row>
    <row r="4" spans="1:17" s="178" customFormat="1" x14ac:dyDescent="0.25">
      <c r="A4" s="181" t="s">
        <v>361</v>
      </c>
    </row>
    <row r="5" spans="1:17" s="178" customFormat="1" x14ac:dyDescent="0.25">
      <c r="A5" s="182" t="s">
        <v>380</v>
      </c>
    </row>
    <row r="6" spans="1:17" s="178" customFormat="1" x14ac:dyDescent="0.25">
      <c r="A6" s="182" t="s">
        <v>381</v>
      </c>
    </row>
    <row r="7" spans="1:17" s="178" customFormat="1" x14ac:dyDescent="0.25">
      <c r="A7" s="271" t="s">
        <v>382</v>
      </c>
    </row>
    <row r="9" spans="1:17" x14ac:dyDescent="0.25">
      <c r="A9" s="3" t="s">
        <v>41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151"/>
      <c r="N9" s="151"/>
      <c r="O9" s="151"/>
      <c r="P9" s="151"/>
      <c r="Q9" s="151"/>
    </row>
    <row r="11" spans="1:17" ht="15.75" x14ac:dyDescent="0.25">
      <c r="B11" t="s">
        <v>27</v>
      </c>
      <c r="D11" s="4">
        <v>42551</v>
      </c>
      <c r="G11" s="140" t="s">
        <v>48</v>
      </c>
      <c r="H11" s="141"/>
      <c r="I11" s="142"/>
    </row>
    <row r="12" spans="1:17" x14ac:dyDescent="0.25">
      <c r="B12" t="s">
        <v>25</v>
      </c>
      <c r="D12" s="246">
        <v>48.03</v>
      </c>
      <c r="G12" s="137" t="s">
        <v>164</v>
      </c>
      <c r="H12" s="138" t="s">
        <v>50</v>
      </c>
      <c r="I12" s="139" t="s">
        <v>49</v>
      </c>
    </row>
    <row r="13" spans="1:17" x14ac:dyDescent="0.25">
      <c r="B13" t="s">
        <v>40</v>
      </c>
      <c r="D13" s="246">
        <v>50.14</v>
      </c>
      <c r="G13" s="245">
        <v>2016</v>
      </c>
      <c r="H13" s="251">
        <v>863</v>
      </c>
      <c r="I13" s="134"/>
    </row>
    <row r="14" spans="1:17" x14ac:dyDescent="0.25">
      <c r="B14" t="s">
        <v>28</v>
      </c>
      <c r="D14" s="247">
        <v>0.34</v>
      </c>
      <c r="G14" s="133">
        <f t="shared" ref="G14:G21" si="0">G13+1</f>
        <v>2017</v>
      </c>
      <c r="H14" s="251">
        <v>803</v>
      </c>
      <c r="I14" s="134"/>
    </row>
    <row r="15" spans="1:17" x14ac:dyDescent="0.25">
      <c r="D15" s="12"/>
      <c r="G15" s="133">
        <f t="shared" si="0"/>
        <v>2018</v>
      </c>
      <c r="H15" s="251">
        <v>735</v>
      </c>
      <c r="I15" s="134"/>
    </row>
    <row r="16" spans="1:17" x14ac:dyDescent="0.25">
      <c r="B16" t="s">
        <v>29</v>
      </c>
      <c r="D16" s="248">
        <v>8177</v>
      </c>
      <c r="G16" s="133">
        <f t="shared" si="0"/>
        <v>2019</v>
      </c>
      <c r="H16" s="251">
        <v>611</v>
      </c>
      <c r="I16" s="134"/>
    </row>
    <row r="17" spans="1:15" x14ac:dyDescent="0.25">
      <c r="B17" t="s">
        <v>30</v>
      </c>
      <c r="D17" s="249">
        <v>8254</v>
      </c>
      <c r="G17" s="133">
        <f t="shared" si="0"/>
        <v>2020</v>
      </c>
      <c r="H17" s="251">
        <v>524</v>
      </c>
      <c r="I17" s="250">
        <v>1617</v>
      </c>
    </row>
    <row r="18" spans="1:15" x14ac:dyDescent="0.25">
      <c r="D18" s="12"/>
      <c r="G18" s="133">
        <f t="shared" si="0"/>
        <v>2021</v>
      </c>
      <c r="H18" s="251">
        <v>524</v>
      </c>
      <c r="I18" s="134">
        <f>I17-H18</f>
        <v>1093</v>
      </c>
    </row>
    <row r="19" spans="1:15" s="7" customFormat="1" x14ac:dyDescent="0.25">
      <c r="B19" t="s">
        <v>31</v>
      </c>
      <c r="C19"/>
      <c r="D19" s="12">
        <f>D17*D13</f>
        <v>413855.56</v>
      </c>
      <c r="G19" s="133">
        <f t="shared" si="0"/>
        <v>2022</v>
      </c>
      <c r="H19" s="251">
        <v>524</v>
      </c>
      <c r="I19" s="134">
        <f>I18-H19</f>
        <v>569</v>
      </c>
      <c r="M19"/>
      <c r="N19"/>
      <c r="O19"/>
    </row>
    <row r="20" spans="1:15" x14ac:dyDescent="0.25">
      <c r="B20" t="s">
        <v>32</v>
      </c>
      <c r="D20" s="249">
        <v>-5595</v>
      </c>
      <c r="G20" s="133">
        <f t="shared" si="0"/>
        <v>2023</v>
      </c>
      <c r="H20" s="251">
        <v>524</v>
      </c>
      <c r="I20" s="134">
        <f>I19-H20</f>
        <v>45</v>
      </c>
      <c r="M20" s="7"/>
      <c r="N20" s="7"/>
      <c r="O20" s="7"/>
    </row>
    <row r="21" spans="1:15" x14ac:dyDescent="0.25">
      <c r="B21" t="s">
        <v>33</v>
      </c>
      <c r="D21" s="249">
        <v>-90931</v>
      </c>
      <c r="G21" s="135">
        <f t="shared" si="0"/>
        <v>2024</v>
      </c>
      <c r="H21" s="252">
        <v>45</v>
      </c>
      <c r="I21" s="136">
        <f>I20-H21</f>
        <v>0</v>
      </c>
    </row>
    <row r="22" spans="1:15" x14ac:dyDescent="0.25">
      <c r="B22" t="s">
        <v>34</v>
      </c>
      <c r="D22" s="12">
        <f>4985+2499+27808</f>
        <v>35292</v>
      </c>
      <c r="H22" t="s">
        <v>43</v>
      </c>
    </row>
    <row r="23" spans="1:15" x14ac:dyDescent="0.25">
      <c r="B23" t="s">
        <v>35</v>
      </c>
      <c r="D23" s="20">
        <f>H24</f>
        <v>4716.5213135492095</v>
      </c>
      <c r="G23" s="262" t="s">
        <v>51</v>
      </c>
      <c r="H23" s="260">
        <f>I27/I26</f>
        <v>2.2129661113000115E-2</v>
      </c>
    </row>
    <row r="24" spans="1:15" x14ac:dyDescent="0.25">
      <c r="B24" t="s">
        <v>36</v>
      </c>
      <c r="D24" s="249">
        <v>0</v>
      </c>
      <c r="G24" s="263" t="s">
        <v>54</v>
      </c>
      <c r="H24" s="261">
        <f>NPV(H23,H13:H21)</f>
        <v>4716.5213135492095</v>
      </c>
    </row>
    <row r="25" spans="1:15" x14ac:dyDescent="0.25">
      <c r="B25" t="s">
        <v>37</v>
      </c>
      <c r="D25" s="249">
        <v>0</v>
      </c>
    </row>
    <row r="26" spans="1:15" x14ac:dyDescent="0.25">
      <c r="B26" t="s">
        <v>38</v>
      </c>
      <c r="D26" s="249">
        <v>0</v>
      </c>
      <c r="G26" s="272" t="s">
        <v>52</v>
      </c>
      <c r="H26" s="273"/>
      <c r="I26" s="274">
        <f>D22</f>
        <v>35292</v>
      </c>
    </row>
    <row r="27" spans="1:15" x14ac:dyDescent="0.25">
      <c r="B27" s="10" t="s">
        <v>39</v>
      </c>
      <c r="C27" s="9"/>
      <c r="D27" s="92">
        <f>SUM(D19:D26)</f>
        <v>357338.08131354919</v>
      </c>
      <c r="G27" s="104" t="s">
        <v>53</v>
      </c>
      <c r="H27" s="13"/>
      <c r="I27" s="275">
        <v>781</v>
      </c>
    </row>
    <row r="28" spans="1:15" x14ac:dyDescent="0.25">
      <c r="E28" s="13"/>
      <c r="F28" s="13"/>
      <c r="G28" s="276" t="s">
        <v>51</v>
      </c>
      <c r="H28" s="277"/>
      <c r="I28" s="278">
        <f>I27/I26</f>
        <v>2.2129661113000115E-2</v>
      </c>
    </row>
    <row r="30" spans="1:15" x14ac:dyDescent="0.25">
      <c r="A30" s="3" t="s">
        <v>45</v>
      </c>
      <c r="B30" s="2"/>
      <c r="C30" s="2"/>
      <c r="D30" s="2"/>
      <c r="E30" s="16"/>
      <c r="F30" s="17" t="s">
        <v>44</v>
      </c>
      <c r="G30" s="19"/>
      <c r="H30" s="16"/>
      <c r="I30" s="18"/>
      <c r="J30" s="17" t="s">
        <v>46</v>
      </c>
      <c r="K30" s="18"/>
      <c r="L30" s="19"/>
      <c r="M30" s="143" t="s">
        <v>42</v>
      </c>
    </row>
    <row r="31" spans="1:15" x14ac:dyDescent="0.25">
      <c r="A31" s="3" t="s">
        <v>162</v>
      </c>
      <c r="B31" s="2"/>
      <c r="C31" s="2"/>
      <c r="D31" s="2"/>
      <c r="E31" s="96">
        <v>2013</v>
      </c>
      <c r="F31" s="96">
        <f>E31+1</f>
        <v>2014</v>
      </c>
      <c r="G31" s="177">
        <f t="shared" ref="G31" si="1">F31+1</f>
        <v>2015</v>
      </c>
      <c r="H31" s="96">
        <f t="shared" ref="H31" si="2">G31+1</f>
        <v>2016</v>
      </c>
      <c r="I31" s="96">
        <f t="shared" ref="I31" si="3">H31+1</f>
        <v>2017</v>
      </c>
      <c r="J31" s="96">
        <f t="shared" ref="J31" si="4">I31+1</f>
        <v>2018</v>
      </c>
      <c r="K31" s="96">
        <f t="shared" ref="K31" si="5">J31+1</f>
        <v>2019</v>
      </c>
      <c r="L31" s="96">
        <f t="shared" ref="L31" si="6">K31+1</f>
        <v>2020</v>
      </c>
    </row>
    <row r="32" spans="1:15" s="26" customFormat="1" x14ac:dyDescent="0.25">
      <c r="A32" s="25"/>
      <c r="E32" s="27"/>
      <c r="F32" s="27"/>
      <c r="G32" s="144"/>
      <c r="H32" s="158"/>
      <c r="I32" s="158"/>
      <c r="J32" s="158"/>
      <c r="K32" s="158"/>
      <c r="L32" s="158"/>
    </row>
    <row r="33" spans="2:16" x14ac:dyDescent="0.25">
      <c r="B33" t="s">
        <v>60</v>
      </c>
      <c r="D33">
        <v>73723</v>
      </c>
      <c r="E33" s="32">
        <v>77849</v>
      </c>
      <c r="F33" s="32">
        <v>86833</v>
      </c>
      <c r="G33" s="148">
        <v>93580</v>
      </c>
      <c r="H33" s="159">
        <f>G33*(1+H61)</f>
        <v>100851.24779749634</v>
      </c>
      <c r="I33" s="159">
        <f t="shared" ref="I33:L33" si="7">H33*(1+I61)</f>
        <v>108687.47790459511</v>
      </c>
      <c r="J33" s="159">
        <f t="shared" si="7"/>
        <v>117132.58994059874</v>
      </c>
      <c r="K33" s="159">
        <f t="shared" si="7"/>
        <v>126233.89456360175</v>
      </c>
      <c r="L33" s="159">
        <f t="shared" si="7"/>
        <v>136042.37851118643</v>
      </c>
    </row>
    <row r="34" spans="2:16" x14ac:dyDescent="0.25">
      <c r="B34" t="s">
        <v>61</v>
      </c>
      <c r="D34">
        <v>17530</v>
      </c>
      <c r="E34" s="33">
        <v>20385</v>
      </c>
      <c r="F34" s="33">
        <v>27078</v>
      </c>
      <c r="G34" s="149">
        <v>33038</v>
      </c>
      <c r="H34" s="159">
        <f>H33*H62</f>
        <v>31154.246913147319</v>
      </c>
      <c r="I34" s="159">
        <f t="shared" ref="I34:L34" si="8">I33*I62</f>
        <v>35279.895422119225</v>
      </c>
      <c r="J34" s="159">
        <f t="shared" si="8"/>
        <v>38519.357786387416</v>
      </c>
      <c r="K34" s="159">
        <f t="shared" si="8"/>
        <v>40494.356984644997</v>
      </c>
      <c r="L34" s="159">
        <f t="shared" si="8"/>
        <v>44179.32536365385</v>
      </c>
    </row>
    <row r="35" spans="2:16" s="6" customFormat="1" x14ac:dyDescent="0.25">
      <c r="B35" s="10" t="s">
        <v>62</v>
      </c>
      <c r="C35" s="10"/>
      <c r="D35" s="10">
        <f>D33-D34</f>
        <v>56193</v>
      </c>
      <c r="E35" s="30">
        <f>E33-E34</f>
        <v>57464</v>
      </c>
      <c r="F35" s="30">
        <f t="shared" ref="F35:G35" si="9">F33-F34</f>
        <v>59755</v>
      </c>
      <c r="G35" s="83">
        <f t="shared" si="9"/>
        <v>60542</v>
      </c>
      <c r="H35" s="160">
        <f t="shared" ref="H35" si="10">H33-H34</f>
        <v>69697.000884349021</v>
      </c>
      <c r="I35" s="160">
        <f t="shared" ref="I35" si="11">I33-I34</f>
        <v>73407.582482475889</v>
      </c>
      <c r="J35" s="160">
        <f t="shared" ref="J35" si="12">J33-J34</f>
        <v>78613.23215421132</v>
      </c>
      <c r="K35" s="160">
        <f t="shared" ref="K35" si="13">K33-K34</f>
        <v>85739.537578956748</v>
      </c>
      <c r="L35" s="160">
        <f t="shared" ref="L35" si="14">L33-L34</f>
        <v>91863.05314753257</v>
      </c>
    </row>
    <row r="36" spans="2:16" s="7" customFormat="1" x14ac:dyDescent="0.25">
      <c r="B36" s="23"/>
      <c r="C36" s="13"/>
      <c r="D36" s="13"/>
      <c r="F36" s="29" t="s">
        <v>43</v>
      </c>
      <c r="G36" s="145" t="s">
        <v>42</v>
      </c>
      <c r="H36" s="161" t="s">
        <v>42</v>
      </c>
      <c r="I36" s="159"/>
      <c r="J36" s="161" t="s">
        <v>43</v>
      </c>
      <c r="K36" s="161" t="s">
        <v>42</v>
      </c>
      <c r="L36" s="161" t="s">
        <v>42</v>
      </c>
    </row>
    <row r="37" spans="2:16" x14ac:dyDescent="0.25">
      <c r="B37" t="s">
        <v>63</v>
      </c>
      <c r="E37" s="32">
        <v>10411</v>
      </c>
      <c r="F37" s="34">
        <v>11381</v>
      </c>
      <c r="G37" s="148">
        <v>12046</v>
      </c>
      <c r="H37" s="159">
        <f>H33*H63</f>
        <v>13229.163129765273</v>
      </c>
      <c r="I37" s="159">
        <f t="shared" ref="I37:L37" si="15">I33*I63</f>
        <v>14257.080668449025</v>
      </c>
      <c r="J37" s="159">
        <f t="shared" si="15"/>
        <v>15364.86829838264</v>
      </c>
      <c r="K37" s="159">
        <f t="shared" si="15"/>
        <v>16558.731995470011</v>
      </c>
      <c r="L37" s="159">
        <f t="shared" si="15"/>
        <v>17845.359945367356</v>
      </c>
    </row>
    <row r="38" spans="2:16" x14ac:dyDescent="0.25">
      <c r="B38" t="s">
        <v>64</v>
      </c>
      <c r="E38" s="32">
        <v>15276</v>
      </c>
      <c r="F38" s="32">
        <v>15811</v>
      </c>
      <c r="G38" s="148">
        <v>15713</v>
      </c>
      <c r="H38" s="159">
        <f>H33*H64</f>
        <v>18362.356106495125</v>
      </c>
      <c r="I38" s="159">
        <f t="shared" ref="I38:L38" si="16">I33*I64</f>
        <v>19276.398965974637</v>
      </c>
      <c r="J38" s="159">
        <f t="shared" si="16"/>
        <v>20589.55420709031</v>
      </c>
      <c r="K38" s="159">
        <f t="shared" si="16"/>
        <v>22520.537679842982</v>
      </c>
      <c r="L38" s="159">
        <f t="shared" si="16"/>
        <v>24103.959463005551</v>
      </c>
    </row>
    <row r="39" spans="2:16" x14ac:dyDescent="0.25">
      <c r="B39" t="s">
        <v>65</v>
      </c>
      <c r="C39" s="8"/>
      <c r="D39" t="s">
        <v>42</v>
      </c>
      <c r="E39" s="32">
        <v>5013</v>
      </c>
      <c r="F39" s="32">
        <v>4677</v>
      </c>
      <c r="G39" s="148">
        <v>4611</v>
      </c>
      <c r="H39" s="159">
        <f>H33*H65</f>
        <v>5631.8446595667338</v>
      </c>
      <c r="I39" s="159">
        <f t="shared" ref="I39:L39" si="17">I33*I65</f>
        <v>5759.6553575879443</v>
      </c>
      <c r="J39" s="159">
        <f t="shared" si="17"/>
        <v>6173.2485356954876</v>
      </c>
      <c r="K39" s="159">
        <f t="shared" si="17"/>
        <v>6797.2315427906988</v>
      </c>
      <c r="L39" s="159">
        <f t="shared" si="17"/>
        <v>7234.8345290355555</v>
      </c>
    </row>
    <row r="40" spans="2:16" x14ac:dyDescent="0.25">
      <c r="B40" t="s">
        <v>66</v>
      </c>
      <c r="E40" s="33">
        <v>0</v>
      </c>
      <c r="F40" s="33">
        <v>127</v>
      </c>
      <c r="G40" s="148">
        <v>10011</v>
      </c>
      <c r="H40" s="159">
        <v>0</v>
      </c>
      <c r="I40" s="159">
        <v>0</v>
      </c>
      <c r="J40" s="159">
        <v>0</v>
      </c>
      <c r="K40" s="159">
        <v>0</v>
      </c>
      <c r="L40" s="159">
        <v>0</v>
      </c>
      <c r="N40" t="s">
        <v>42</v>
      </c>
      <c r="O40" t="s">
        <v>42</v>
      </c>
    </row>
    <row r="41" spans="2:16" s="6" customFormat="1" x14ac:dyDescent="0.25">
      <c r="B41" s="10" t="s">
        <v>74</v>
      </c>
      <c r="C41" s="10"/>
      <c r="D41" s="10"/>
      <c r="E41" s="30">
        <f>E35-SUM(E37:E40)</f>
        <v>26764</v>
      </c>
      <c r="F41" s="30">
        <f t="shared" ref="F41:G41" si="18">F35-SUM(F37:F40)</f>
        <v>27759</v>
      </c>
      <c r="G41" s="83">
        <f t="shared" si="18"/>
        <v>18161</v>
      </c>
      <c r="H41" s="160">
        <f t="shared" ref="H41" si="19">H35-SUM(H37:H40)</f>
        <v>32473.636988521888</v>
      </c>
      <c r="I41" s="160">
        <f t="shared" ref="I41" si="20">I35-SUM(I37:I40)</f>
        <v>34114.447490464285</v>
      </c>
      <c r="J41" s="160">
        <f t="shared" ref="J41" si="21">J35-SUM(J37:J40)</f>
        <v>36485.561113042888</v>
      </c>
      <c r="K41" s="160">
        <f t="shared" ref="K41" si="22">K35-SUM(K37:K40)</f>
        <v>39863.036360853053</v>
      </c>
      <c r="L41" s="160">
        <f t="shared" ref="L41" si="23">L35-SUM(L37:L40)</f>
        <v>42678.899210124109</v>
      </c>
    </row>
    <row r="42" spans="2:16" x14ac:dyDescent="0.25">
      <c r="B42" t="s">
        <v>67</v>
      </c>
      <c r="E42" s="32">
        <v>288</v>
      </c>
      <c r="F42" s="33">
        <v>61</v>
      </c>
      <c r="G42" s="148">
        <v>346</v>
      </c>
      <c r="H42" s="159">
        <f>H41*H67</f>
        <v>346.49395765994893</v>
      </c>
      <c r="I42" s="159">
        <f t="shared" ref="I42:L42" si="24">I41*I67</f>
        <v>362.9698471918598</v>
      </c>
      <c r="J42" s="159">
        <f t="shared" si="24"/>
        <v>490.87176796098095</v>
      </c>
      <c r="K42" s="159">
        <f t="shared" si="24"/>
        <v>461.92809058229471</v>
      </c>
      <c r="L42" s="159">
        <f t="shared" si="24"/>
        <v>507.61590118266736</v>
      </c>
    </row>
    <row r="43" spans="2:16" s="7" customFormat="1" x14ac:dyDescent="0.25">
      <c r="E43" s="8"/>
      <c r="G43" s="145"/>
      <c r="H43" s="159"/>
      <c r="I43" s="159"/>
      <c r="J43" s="159"/>
      <c r="K43" s="159"/>
      <c r="L43" s="159"/>
    </row>
    <row r="44" spans="2:16" x14ac:dyDescent="0.25">
      <c r="B44" t="s">
        <v>68</v>
      </c>
      <c r="D44" t="s">
        <v>75</v>
      </c>
      <c r="E44" s="8">
        <f>E41+E42</f>
        <v>27052</v>
      </c>
      <c r="F44" s="8">
        <f>F41+F42</f>
        <v>27820</v>
      </c>
      <c r="G44" s="145">
        <f>G41+G42</f>
        <v>18507</v>
      </c>
      <c r="H44" s="162">
        <f t="shared" ref="H44:L44" si="25">H41+H42</f>
        <v>32820.130946181838</v>
      </c>
      <c r="I44" s="162">
        <f t="shared" si="25"/>
        <v>34477.417337656145</v>
      </c>
      <c r="J44" s="162">
        <f t="shared" si="25"/>
        <v>36976.432881003871</v>
      </c>
      <c r="K44" s="162">
        <f t="shared" si="25"/>
        <v>40324.964451435349</v>
      </c>
      <c r="L44" s="162">
        <f t="shared" si="25"/>
        <v>43186.515111306777</v>
      </c>
      <c r="P44" s="38"/>
    </row>
    <row r="45" spans="2:16" x14ac:dyDescent="0.25">
      <c r="B45" t="s">
        <v>69</v>
      </c>
      <c r="C45" s="8"/>
      <c r="D45" t="s">
        <v>42</v>
      </c>
      <c r="E45" s="32">
        <v>5189</v>
      </c>
      <c r="F45" s="33">
        <v>5746</v>
      </c>
      <c r="G45" s="149">
        <v>6314</v>
      </c>
      <c r="H45" s="159">
        <f>H66*H44</f>
        <v>8090.4469921584723</v>
      </c>
      <c r="I45" s="159">
        <f t="shared" ref="I45:L45" si="26">I66*I44</f>
        <v>8498.9824645804165</v>
      </c>
      <c r="J45" s="159">
        <f t="shared" si="26"/>
        <v>9115.011474921308</v>
      </c>
      <c r="K45" s="159">
        <f t="shared" si="26"/>
        <v>9940.4535554714694</v>
      </c>
      <c r="L45" s="159">
        <f t="shared" si="26"/>
        <v>10645.850617019731</v>
      </c>
    </row>
    <row r="46" spans="2:16" x14ac:dyDescent="0.25">
      <c r="B46" s="138" t="s">
        <v>70</v>
      </c>
      <c r="C46" s="138"/>
      <c r="D46" s="138"/>
      <c r="E46" s="156">
        <f>E44-E45</f>
        <v>21863</v>
      </c>
      <c r="F46" s="156">
        <f t="shared" ref="F46:G46" si="27">F44-F45</f>
        <v>22074</v>
      </c>
      <c r="G46" s="157">
        <f t="shared" si="27"/>
        <v>12193</v>
      </c>
      <c r="H46" s="163">
        <f t="shared" ref="H46" si="28">H44-H45</f>
        <v>24729.683954023367</v>
      </c>
      <c r="I46" s="163">
        <f t="shared" ref="I46" si="29">I44-I45</f>
        <v>25978.434873075727</v>
      </c>
      <c r="J46" s="163">
        <f t="shared" ref="J46" si="30">J44-J45</f>
        <v>27861.421406082562</v>
      </c>
      <c r="K46" s="163">
        <f t="shared" ref="K46" si="31">K44-K45</f>
        <v>30384.510895963882</v>
      </c>
      <c r="L46" s="163">
        <f t="shared" ref="L46" si="32">L44-L45</f>
        <v>32540.664494287048</v>
      </c>
    </row>
    <row r="47" spans="2:16" x14ac:dyDescent="0.25">
      <c r="B47" t="s">
        <v>43</v>
      </c>
      <c r="D47" t="s">
        <v>128</v>
      </c>
      <c r="G47" s="77"/>
      <c r="H47" s="159"/>
      <c r="I47" s="159"/>
      <c r="J47" s="159"/>
      <c r="K47" s="159"/>
      <c r="L47" s="159"/>
    </row>
    <row r="48" spans="2:16" x14ac:dyDescent="0.25">
      <c r="B48" s="6" t="s">
        <v>71</v>
      </c>
      <c r="C48" s="8"/>
      <c r="D48" t="s">
        <v>42</v>
      </c>
      <c r="E48" s="8"/>
      <c r="F48" t="s">
        <v>43</v>
      </c>
      <c r="G48" s="77" t="s">
        <v>42</v>
      </c>
      <c r="H48" s="159" t="s">
        <v>42</v>
      </c>
      <c r="I48" s="159"/>
      <c r="J48" s="159" t="s">
        <v>43</v>
      </c>
      <c r="K48" s="159"/>
      <c r="L48" s="159"/>
    </row>
    <row r="49" spans="1:18" x14ac:dyDescent="0.25">
      <c r="B49" t="s">
        <v>72</v>
      </c>
      <c r="E49" s="35">
        <f>E46/E53</f>
        <v>2.610507462686567</v>
      </c>
      <c r="F49" s="35">
        <f t="shared" ref="F49:L49" si="33">F46/F53</f>
        <v>2.6598385347632245</v>
      </c>
      <c r="G49" s="146">
        <f t="shared" si="33"/>
        <v>1.4911336676042559</v>
      </c>
      <c r="H49" s="164">
        <f t="shared" si="33"/>
        <v>3.0242979031458197</v>
      </c>
      <c r="I49" s="164">
        <f t="shared" si="33"/>
        <v>3.1770129476673263</v>
      </c>
      <c r="J49" s="164">
        <f t="shared" si="33"/>
        <v>3.4072913545410985</v>
      </c>
      <c r="K49" s="164">
        <f t="shared" si="33"/>
        <v>3.7158506660100139</v>
      </c>
      <c r="L49" s="164">
        <f t="shared" si="33"/>
        <v>3.9795358315136418</v>
      </c>
    </row>
    <row r="50" spans="1:18" x14ac:dyDescent="0.25">
      <c r="B50" t="s">
        <v>73</v>
      </c>
      <c r="E50" s="35">
        <f>E46/E54</f>
        <v>2.581227863046045</v>
      </c>
      <c r="F50" s="35">
        <f t="shared" ref="F50:L50" si="34">F46/F54</f>
        <v>2.6281700202405047</v>
      </c>
      <c r="G50" s="146">
        <f t="shared" si="34"/>
        <v>1.4772231645262903</v>
      </c>
      <c r="H50" s="164">
        <f t="shared" si="34"/>
        <v>2.996084801795901</v>
      </c>
      <c r="I50" s="164">
        <f t="shared" si="34"/>
        <v>3.1473751966411108</v>
      </c>
      <c r="J50" s="164">
        <f t="shared" si="34"/>
        <v>3.3755053799470027</v>
      </c>
      <c r="K50" s="164">
        <f t="shared" si="34"/>
        <v>3.6811862001410081</v>
      </c>
      <c r="L50" s="164">
        <f t="shared" si="34"/>
        <v>3.9424114967636354</v>
      </c>
    </row>
    <row r="51" spans="1:18" x14ac:dyDescent="0.25">
      <c r="B51" t="s">
        <v>42</v>
      </c>
      <c r="C51" s="8"/>
      <c r="D51" t="s">
        <v>42</v>
      </c>
      <c r="F51" t="s">
        <v>43</v>
      </c>
      <c r="G51" s="77" t="s">
        <v>42</v>
      </c>
      <c r="H51" s="159" t="s">
        <v>42</v>
      </c>
      <c r="I51" s="159"/>
      <c r="J51" s="159" t="s">
        <v>43</v>
      </c>
      <c r="K51" s="159"/>
      <c r="L51" s="159"/>
    </row>
    <row r="52" spans="1:18" x14ac:dyDescent="0.25">
      <c r="B52" s="6" t="s">
        <v>76</v>
      </c>
      <c r="G52" s="77"/>
      <c r="H52" s="159"/>
      <c r="I52" s="159"/>
      <c r="J52" s="159"/>
      <c r="K52" s="159"/>
      <c r="L52" s="159"/>
    </row>
    <row r="53" spans="1:18" x14ac:dyDescent="0.25">
      <c r="B53" t="s">
        <v>72</v>
      </c>
      <c r="E53" s="32">
        <v>8375</v>
      </c>
      <c r="F53" s="32">
        <v>8299</v>
      </c>
      <c r="G53" s="148">
        <v>8177</v>
      </c>
      <c r="H53" s="159">
        <f>G53</f>
        <v>8177</v>
      </c>
      <c r="I53" s="159">
        <f t="shared" ref="I53:L53" si="35">H53</f>
        <v>8177</v>
      </c>
      <c r="J53" s="159">
        <f t="shared" si="35"/>
        <v>8177</v>
      </c>
      <c r="K53" s="159">
        <f t="shared" si="35"/>
        <v>8177</v>
      </c>
      <c r="L53" s="159">
        <f t="shared" si="35"/>
        <v>8177</v>
      </c>
    </row>
    <row r="54" spans="1:18" x14ac:dyDescent="0.25">
      <c r="B54" t="s">
        <v>73</v>
      </c>
      <c r="E54" s="32">
        <v>8470</v>
      </c>
      <c r="F54" s="32">
        <v>8399</v>
      </c>
      <c r="G54" s="148">
        <v>8254</v>
      </c>
      <c r="H54" s="159">
        <f>G54</f>
        <v>8254</v>
      </c>
      <c r="I54" s="159">
        <f t="shared" ref="I54:L54" si="36">H54</f>
        <v>8254</v>
      </c>
      <c r="J54" s="159">
        <f t="shared" si="36"/>
        <v>8254</v>
      </c>
      <c r="K54" s="159">
        <f t="shared" si="36"/>
        <v>8254</v>
      </c>
      <c r="L54" s="159">
        <f t="shared" si="36"/>
        <v>8254</v>
      </c>
    </row>
    <row r="55" spans="1:18" x14ac:dyDescent="0.25">
      <c r="B55" t="s">
        <v>77</v>
      </c>
      <c r="H55" s="12"/>
      <c r="I55" s="12"/>
      <c r="J55" s="12"/>
      <c r="K55" s="12"/>
      <c r="L55" s="12"/>
    </row>
    <row r="56" spans="1:18" s="124" customFormat="1" x14ac:dyDescent="0.25">
      <c r="H56" s="12"/>
      <c r="I56" s="12"/>
      <c r="J56" s="12"/>
      <c r="K56" s="12"/>
      <c r="L56" s="12"/>
    </row>
    <row r="57" spans="1:18" x14ac:dyDescent="0.25">
      <c r="C57" s="8"/>
      <c r="D57" t="s">
        <v>42</v>
      </c>
      <c r="E57" t="s">
        <v>42</v>
      </c>
      <c r="F57" s="8"/>
      <c r="G57" t="s">
        <v>43</v>
      </c>
      <c r="H57" t="s">
        <v>42</v>
      </c>
      <c r="I57" t="s">
        <v>42</v>
      </c>
      <c r="J57" s="8"/>
      <c r="K57" t="s">
        <v>43</v>
      </c>
    </row>
    <row r="58" spans="1:18" x14ac:dyDescent="0.25">
      <c r="B58" s="26"/>
      <c r="C58" s="26"/>
      <c r="D58" s="26"/>
      <c r="E58" s="16"/>
      <c r="F58" s="17" t="s">
        <v>44</v>
      </c>
      <c r="G58" s="19"/>
      <c r="H58" s="16"/>
      <c r="I58" s="18"/>
      <c r="J58" s="17" t="s">
        <v>46</v>
      </c>
      <c r="K58" s="18"/>
      <c r="L58" s="19"/>
    </row>
    <row r="59" spans="1:18" x14ac:dyDescent="0.25">
      <c r="A59" s="3" t="s">
        <v>119</v>
      </c>
      <c r="B59" s="2"/>
      <c r="C59" s="2"/>
      <c r="D59" s="2"/>
      <c r="E59" s="96">
        <v>2013</v>
      </c>
      <c r="F59" s="96">
        <f>E59+1</f>
        <v>2014</v>
      </c>
      <c r="G59" s="177">
        <f>F59+1</f>
        <v>2015</v>
      </c>
      <c r="H59" s="96">
        <f>G59+1</f>
        <v>2016</v>
      </c>
      <c r="I59" s="96">
        <f t="shared" ref="I59" si="37">H59+1</f>
        <v>2017</v>
      </c>
      <c r="J59" s="96">
        <f t="shared" ref="J59" si="38">I59+1</f>
        <v>2018</v>
      </c>
      <c r="K59" s="96">
        <f t="shared" ref="K59" si="39">J59+1</f>
        <v>2019</v>
      </c>
      <c r="L59" s="96">
        <f t="shared" ref="L59" si="40">K59+1</f>
        <v>2020</v>
      </c>
    </row>
    <row r="60" spans="1:18" x14ac:dyDescent="0.25">
      <c r="A60" t="s">
        <v>42</v>
      </c>
      <c r="E60" s="36"/>
      <c r="F60" s="36"/>
      <c r="G60" s="147"/>
      <c r="H60" s="165"/>
      <c r="I60" s="165"/>
      <c r="J60" s="165"/>
      <c r="K60" s="165"/>
      <c r="L60" s="165"/>
    </row>
    <row r="61" spans="1:18" x14ac:dyDescent="0.25">
      <c r="B61" t="s">
        <v>120</v>
      </c>
      <c r="E61" s="36">
        <f>E33/D33-1</f>
        <v>5.5966252051598442E-2</v>
      </c>
      <c r="F61" s="36">
        <f t="shared" ref="F61:G61" si="41">F33/E33-1</f>
        <v>0.11540289534868786</v>
      </c>
      <c r="G61" s="147">
        <f t="shared" si="41"/>
        <v>7.7700874091647165E-2</v>
      </c>
      <c r="H61" s="165">
        <v>7.7700874091647165E-2</v>
      </c>
      <c r="I61" s="165">
        <v>7.7700874091647165E-2</v>
      </c>
      <c r="J61" s="165">
        <v>7.7700874091647165E-2</v>
      </c>
      <c r="K61" s="165">
        <v>7.7700874091647165E-2</v>
      </c>
      <c r="L61" s="165">
        <v>7.7700874091647165E-2</v>
      </c>
      <c r="N61" s="13"/>
      <c r="O61" s="13"/>
      <c r="P61" s="13"/>
      <c r="R61" s="36"/>
    </row>
    <row r="62" spans="1:18" x14ac:dyDescent="0.25">
      <c r="B62" t="s">
        <v>121</v>
      </c>
      <c r="E62" s="36">
        <f>E34/E33</f>
        <v>0.26185307454174106</v>
      </c>
      <c r="F62" s="36">
        <f t="shared" ref="F62:G62" si="42">F34/F33</f>
        <v>0.31183996867550356</v>
      </c>
      <c r="G62" s="147">
        <f t="shared" si="42"/>
        <v>0.35304552254755289</v>
      </c>
      <c r="H62" s="165">
        <f>AVERAGE(E62:G$62)</f>
        <v>0.30891285525493251</v>
      </c>
      <c r="I62" s="165">
        <f>AVERAGE(F62:H$62)</f>
        <v>0.32459944882599628</v>
      </c>
      <c r="J62" s="165">
        <f>AVERAGE(G62:I$62)</f>
        <v>0.32885260887616052</v>
      </c>
      <c r="K62" s="165">
        <f>AVERAGE(H62:J$62)</f>
        <v>0.32078830431902977</v>
      </c>
      <c r="L62" s="165">
        <f>AVERAGE(I62:K$62)</f>
        <v>0.32474678734039553</v>
      </c>
      <c r="N62" s="13"/>
      <c r="O62" s="13"/>
      <c r="P62" s="13"/>
    </row>
    <row r="63" spans="1:18" x14ac:dyDescent="0.25">
      <c r="B63" s="11" t="s">
        <v>122</v>
      </c>
      <c r="E63" s="36">
        <f>E37/E33</f>
        <v>0.13373325283561768</v>
      </c>
      <c r="F63" s="36">
        <f t="shared" ref="F63:G63" si="43">F37/F33</f>
        <v>0.13106768164177213</v>
      </c>
      <c r="G63" s="147">
        <f t="shared" si="43"/>
        <v>0.12872408634323573</v>
      </c>
      <c r="H63" s="165">
        <f>AVERAGE($E$63:$G$63)</f>
        <v>0.13117500694020853</v>
      </c>
      <c r="I63" s="165">
        <f t="shared" ref="I63:L63" si="44">AVERAGE($E$63:$G$63)</f>
        <v>0.13117500694020853</v>
      </c>
      <c r="J63" s="165">
        <f t="shared" si="44"/>
        <v>0.13117500694020853</v>
      </c>
      <c r="K63" s="165">
        <f t="shared" si="44"/>
        <v>0.13117500694020853</v>
      </c>
      <c r="L63" s="165">
        <f t="shared" si="44"/>
        <v>0.13117500694020853</v>
      </c>
      <c r="N63" s="13"/>
      <c r="O63" s="13"/>
      <c r="P63" s="13"/>
    </row>
    <row r="64" spans="1:18" x14ac:dyDescent="0.25">
      <c r="B64" t="s">
        <v>123</v>
      </c>
      <c r="E64" s="36">
        <f>E38/E33</f>
        <v>0.19622602730927821</v>
      </c>
      <c r="F64" s="36">
        <f t="shared" ref="F64:G64" si="45">F38/F33</f>
        <v>0.18208515195835684</v>
      </c>
      <c r="G64" s="147">
        <f t="shared" si="45"/>
        <v>0.16790980978841633</v>
      </c>
      <c r="H64" s="165">
        <f>AVERAGE(E$64:G$64)</f>
        <v>0.18207366301868377</v>
      </c>
      <c r="I64" s="165">
        <f t="shared" ref="I64:L64" si="46">AVERAGE(F$64:H$64)</f>
        <v>0.1773562082551523</v>
      </c>
      <c r="J64" s="165">
        <f t="shared" si="46"/>
        <v>0.17577989368741745</v>
      </c>
      <c r="K64" s="165">
        <f t="shared" si="46"/>
        <v>0.17840325498708451</v>
      </c>
      <c r="L64" s="165">
        <f t="shared" si="46"/>
        <v>0.1771797856432181</v>
      </c>
      <c r="N64" s="13"/>
      <c r="O64" s="13"/>
      <c r="P64" s="13"/>
    </row>
    <row r="65" spans="1:16" x14ac:dyDescent="0.25">
      <c r="B65" t="s">
        <v>124</v>
      </c>
      <c r="E65" s="36">
        <f>E39/E33</f>
        <v>6.4393890737196369E-2</v>
      </c>
      <c r="F65" s="36">
        <f t="shared" ref="F65:G65" si="47">F39/F33</f>
        <v>5.3862010986606472E-2</v>
      </c>
      <c r="G65" s="147">
        <f t="shared" si="47"/>
        <v>4.9273349006197904E-2</v>
      </c>
      <c r="H65" s="165">
        <f>AVERAGE(E$65:G$65)</f>
        <v>5.5843083576666917E-2</v>
      </c>
      <c r="I65" s="165">
        <f t="shared" ref="I65:L65" si="48">AVERAGE(F$65:H$65)</f>
        <v>5.29928145231571E-2</v>
      </c>
      <c r="J65" s="165">
        <f t="shared" si="48"/>
        <v>5.2703082368673972E-2</v>
      </c>
      <c r="K65" s="165">
        <f t="shared" si="48"/>
        <v>5.3846326822832663E-2</v>
      </c>
      <c r="L65" s="165">
        <f t="shared" si="48"/>
        <v>5.3180741238221245E-2</v>
      </c>
      <c r="N65" s="13"/>
      <c r="O65" s="13"/>
      <c r="P65" s="13"/>
    </row>
    <row r="66" spans="1:16" x14ac:dyDescent="0.25">
      <c r="B66" t="s">
        <v>125</v>
      </c>
      <c r="E66" s="36">
        <f>E45/E44</f>
        <v>0.19181576223569421</v>
      </c>
      <c r="F66" s="36">
        <f t="shared" ref="F66:G66" si="49">F45/F44</f>
        <v>0.20654205607476636</v>
      </c>
      <c r="G66" s="147">
        <f t="shared" si="49"/>
        <v>0.34116820662452046</v>
      </c>
      <c r="H66" s="165">
        <f>AVERAGE($E66:$G$66)</f>
        <v>0.24650867497832704</v>
      </c>
      <c r="I66" s="165">
        <f>AVERAGE($E66:$G$66)</f>
        <v>0.24650867497832704</v>
      </c>
      <c r="J66" s="165">
        <f>AVERAGE($E66:$G$66)</f>
        <v>0.24650867497832704</v>
      </c>
      <c r="K66" s="165">
        <f>AVERAGE($E66:$G$66)</f>
        <v>0.24650867497832704</v>
      </c>
      <c r="L66" s="165">
        <f>AVERAGE($E66:$G$66)</f>
        <v>0.24650867497832704</v>
      </c>
      <c r="N66" s="13"/>
      <c r="O66" s="13"/>
      <c r="P66" s="13"/>
    </row>
    <row r="67" spans="1:16" x14ac:dyDescent="0.25">
      <c r="B67" t="s">
        <v>126</v>
      </c>
      <c r="E67" s="36">
        <f>E42/E41</f>
        <v>1.0760723359736961E-2</v>
      </c>
      <c r="F67" s="36">
        <f t="shared" ref="F67:G67" si="50">F42/F41</f>
        <v>2.1974855001981341E-3</v>
      </c>
      <c r="G67" s="147">
        <f t="shared" si="50"/>
        <v>1.9051814327404878E-2</v>
      </c>
      <c r="H67" s="165">
        <f>AVERAGE(E$67:G$67)</f>
        <v>1.0670007729113326E-2</v>
      </c>
      <c r="I67" s="165">
        <f t="shared" ref="I67:L67" si="51">AVERAGE(F$67:H$67)</f>
        <v>1.0639769185572114E-2</v>
      </c>
      <c r="J67" s="165">
        <f t="shared" si="51"/>
        <v>1.3453863747363438E-2</v>
      </c>
      <c r="K67" s="165">
        <f t="shared" si="51"/>
        <v>1.158788022068296E-2</v>
      </c>
      <c r="L67" s="165">
        <f t="shared" si="51"/>
        <v>1.1893837717872837E-2</v>
      </c>
      <c r="N67" s="13"/>
      <c r="O67" s="13"/>
      <c r="P67" s="13"/>
    </row>
    <row r="68" spans="1:16" x14ac:dyDescent="0.25">
      <c r="B68" t="s">
        <v>127</v>
      </c>
      <c r="E68" s="36">
        <f>E74/E33</f>
        <v>4.82344024971419E-2</v>
      </c>
      <c r="F68" s="36">
        <f t="shared" ref="F68:G68" si="52">F74/F33</f>
        <v>6.0023263045155643E-2</v>
      </c>
      <c r="G68" s="147">
        <f t="shared" si="52"/>
        <v>6.3656764265868776E-2</v>
      </c>
      <c r="H68" s="166">
        <f>AVERAGE(E68:G68)</f>
        <v>5.730480993605544E-2</v>
      </c>
      <c r="I68" s="166">
        <f t="shared" ref="I68:L68" si="53">AVERAGE(F68:H68)</f>
        <v>6.0328279082359958E-2</v>
      </c>
      <c r="J68" s="166">
        <f t="shared" si="53"/>
        <v>6.0429951094761396E-2</v>
      </c>
      <c r="K68" s="166">
        <f t="shared" si="53"/>
        <v>5.9354346704392269E-2</v>
      </c>
      <c r="L68" s="166">
        <f t="shared" si="53"/>
        <v>6.0037525627171205E-2</v>
      </c>
      <c r="N68" s="13"/>
      <c r="O68" s="13"/>
      <c r="P68" s="13"/>
    </row>
    <row r="69" spans="1:16" x14ac:dyDescent="0.25">
      <c r="N69" s="13"/>
      <c r="O69" s="13"/>
      <c r="P69" s="13"/>
    </row>
    <row r="70" spans="1:16" x14ac:dyDescent="0.25">
      <c r="A70" s="7" t="s">
        <v>42</v>
      </c>
      <c r="B70" s="7"/>
      <c r="C70" s="7"/>
      <c r="D70" s="7"/>
      <c r="E70" s="16"/>
      <c r="F70" s="17" t="s">
        <v>44</v>
      </c>
      <c r="G70" s="19"/>
      <c r="H70" s="16"/>
      <c r="I70" s="18"/>
      <c r="J70" s="17" t="s">
        <v>46</v>
      </c>
      <c r="K70" s="18"/>
      <c r="L70" s="19"/>
      <c r="N70" s="13"/>
      <c r="O70" s="13"/>
      <c r="P70" s="13"/>
    </row>
    <row r="71" spans="1:16" x14ac:dyDescent="0.25">
      <c r="A71" s="3" t="s">
        <v>129</v>
      </c>
      <c r="B71" s="2"/>
      <c r="C71" s="2"/>
      <c r="D71" s="2"/>
      <c r="E71" s="96">
        <v>2013</v>
      </c>
      <c r="F71" s="96">
        <f>E71+1</f>
        <v>2014</v>
      </c>
      <c r="G71" s="177">
        <f t="shared" ref="G71" si="54">F71+1</f>
        <v>2015</v>
      </c>
      <c r="H71" s="96">
        <f t="shared" ref="H71" si="55">G71+1</f>
        <v>2016</v>
      </c>
      <c r="I71" s="96">
        <f t="shared" ref="I71" si="56">H71+1</f>
        <v>2017</v>
      </c>
      <c r="J71" s="96">
        <f t="shared" ref="J71" si="57">I71+1</f>
        <v>2018</v>
      </c>
      <c r="K71" s="96">
        <f t="shared" ref="K71" si="58">J71+1</f>
        <v>2019</v>
      </c>
      <c r="L71" s="96">
        <f t="shared" ref="L71" si="59">K71+1</f>
        <v>2020</v>
      </c>
      <c r="N71" s="13"/>
      <c r="O71" s="13"/>
      <c r="P71" s="13"/>
    </row>
    <row r="72" spans="1:16" x14ac:dyDescent="0.25">
      <c r="G72" s="77"/>
      <c r="H72" s="167"/>
      <c r="I72" s="167"/>
      <c r="J72" s="167"/>
      <c r="K72" s="167"/>
      <c r="L72" s="167"/>
      <c r="N72" s="13"/>
      <c r="O72" s="13"/>
      <c r="P72" s="13"/>
    </row>
    <row r="73" spans="1:16" x14ac:dyDescent="0.25">
      <c r="B73" t="s">
        <v>130</v>
      </c>
      <c r="E73">
        <v>26764</v>
      </c>
      <c r="F73">
        <v>27759</v>
      </c>
      <c r="G73" s="77">
        <v>18161</v>
      </c>
      <c r="H73" s="162">
        <f>H41</f>
        <v>32473.636988521888</v>
      </c>
      <c r="I73" s="162">
        <f t="shared" ref="I73:L73" si="60">I41</f>
        <v>34114.447490464285</v>
      </c>
      <c r="J73" s="162">
        <f t="shared" si="60"/>
        <v>36485.561113042888</v>
      </c>
      <c r="K73" s="162">
        <f t="shared" si="60"/>
        <v>39863.036360853053</v>
      </c>
      <c r="L73" s="162">
        <f t="shared" si="60"/>
        <v>42678.899210124109</v>
      </c>
      <c r="N73" s="13"/>
      <c r="O73" s="13"/>
      <c r="P73" s="13"/>
    </row>
    <row r="74" spans="1:16" x14ac:dyDescent="0.25">
      <c r="B74" t="s">
        <v>131</v>
      </c>
      <c r="E74">
        <v>3755</v>
      </c>
      <c r="F74">
        <v>5212</v>
      </c>
      <c r="G74" s="77">
        <v>5957</v>
      </c>
      <c r="H74" s="168">
        <f>H68*H33</f>
        <v>5779.2615868495577</v>
      </c>
      <c r="I74" s="168">
        <f t="shared" ref="I74:L74" si="61">I68*I33</f>
        <v>6556.9284997862451</v>
      </c>
      <c r="J74" s="168">
        <f t="shared" si="61"/>
        <v>7078.3166817131223</v>
      </c>
      <c r="K74" s="168">
        <f t="shared" si="61"/>
        <v>7492.5303437737166</v>
      </c>
      <c r="L74" s="168">
        <f t="shared" si="61"/>
        <v>8167.64778624668</v>
      </c>
      <c r="N74" s="13"/>
      <c r="O74" s="13"/>
      <c r="P74" s="13"/>
    </row>
    <row r="75" spans="1:16" x14ac:dyDescent="0.25">
      <c r="B75" s="76" t="s">
        <v>132</v>
      </c>
      <c r="C75" s="76"/>
      <c r="D75" s="76"/>
      <c r="E75" s="76">
        <f>E73+E74</f>
        <v>30519</v>
      </c>
      <c r="F75" s="76">
        <f t="shared" ref="F75:G75" si="62">F73+F74</f>
        <v>32971</v>
      </c>
      <c r="G75" s="175">
        <f t="shared" si="62"/>
        <v>24118</v>
      </c>
      <c r="H75" s="176">
        <f t="shared" ref="H75" si="63">H73+H74</f>
        <v>38252.898575371444</v>
      </c>
      <c r="I75" s="176">
        <f t="shared" ref="I75" si="64">I73+I74</f>
        <v>40671.375990250526</v>
      </c>
      <c r="J75" s="176">
        <f t="shared" ref="J75" si="65">J73+J74</f>
        <v>43563.877794756008</v>
      </c>
      <c r="K75" s="176">
        <f t="shared" ref="K75" si="66">K73+K74</f>
        <v>47355.56670462677</v>
      </c>
      <c r="L75" s="176">
        <f t="shared" ref="L75" si="67">L73+L74</f>
        <v>50846.546996370787</v>
      </c>
      <c r="N75" s="13"/>
      <c r="O75" s="13"/>
      <c r="P75" s="13"/>
    </row>
    <row r="76" spans="1:16" x14ac:dyDescent="0.25">
      <c r="G76" s="77"/>
      <c r="H76" s="167"/>
      <c r="I76" s="167"/>
      <c r="J76" s="167"/>
      <c r="K76" s="167"/>
      <c r="L76" s="167"/>
      <c r="N76" s="13"/>
      <c r="O76" s="13"/>
      <c r="P76" s="13"/>
    </row>
    <row r="77" spans="1:16" x14ac:dyDescent="0.25">
      <c r="B77" t="s">
        <v>133</v>
      </c>
      <c r="E77" s="36">
        <f>E35/E33</f>
        <v>0.73814692545825888</v>
      </c>
      <c r="F77" s="36">
        <f t="shared" ref="F77:G77" si="68">F35/F33</f>
        <v>0.68816003132449644</v>
      </c>
      <c r="G77" s="147">
        <f t="shared" si="68"/>
        <v>0.64695447745244705</v>
      </c>
      <c r="H77" s="165">
        <f>H35/H33</f>
        <v>0.69108714474506749</v>
      </c>
      <c r="I77" s="165">
        <f t="shared" ref="I77:L77" si="69">I35/I33</f>
        <v>0.67540055117400366</v>
      </c>
      <c r="J77" s="165">
        <f t="shared" si="69"/>
        <v>0.67114739112383937</v>
      </c>
      <c r="K77" s="165">
        <f t="shared" si="69"/>
        <v>0.67921169568097017</v>
      </c>
      <c r="L77" s="165">
        <f t="shared" si="69"/>
        <v>0.67525321265960447</v>
      </c>
      <c r="N77" s="13"/>
      <c r="O77" s="13"/>
      <c r="P77" s="13"/>
    </row>
    <row r="78" spans="1:16" x14ac:dyDescent="0.25">
      <c r="B78" t="s">
        <v>134</v>
      </c>
      <c r="E78" s="36">
        <f>E75/E33</f>
        <v>0.39202815707330857</v>
      </c>
      <c r="F78" s="36">
        <f t="shared" ref="F78:G78" si="70">F75/F33</f>
        <v>0.37970587219144797</v>
      </c>
      <c r="G78" s="147">
        <f t="shared" si="70"/>
        <v>0.25772600983116051</v>
      </c>
      <c r="H78" s="165">
        <f>H75/H33</f>
        <v>0.37930020114556362</v>
      </c>
      <c r="I78" s="165">
        <f t="shared" ref="I78:L78" si="71">I75/I33</f>
        <v>0.37420480053784572</v>
      </c>
      <c r="J78" s="165">
        <f t="shared" si="71"/>
        <v>0.37191935922230085</v>
      </c>
      <c r="K78" s="165">
        <f t="shared" si="71"/>
        <v>0.37514145363523677</v>
      </c>
      <c r="L78" s="165">
        <f t="shared" si="71"/>
        <v>0.37375520446512778</v>
      </c>
      <c r="N78" s="13"/>
      <c r="O78" s="13"/>
      <c r="P78" s="13"/>
    </row>
    <row r="79" spans="1:16" x14ac:dyDescent="0.25">
      <c r="B79" t="s">
        <v>135</v>
      </c>
      <c r="E79" s="36">
        <f>E73/E33</f>
        <v>0.34379375457616668</v>
      </c>
      <c r="F79" s="36">
        <f t="shared" ref="F79:G79" si="72">F73/F33</f>
        <v>0.31968260914629232</v>
      </c>
      <c r="G79" s="147">
        <f t="shared" si="72"/>
        <v>0.19406924556529173</v>
      </c>
      <c r="H79" s="165">
        <f>H73/H33</f>
        <v>0.32199539120950821</v>
      </c>
      <c r="I79" s="165">
        <f t="shared" ref="I79:L79" si="73">I73/I33</f>
        <v>0.31387652145548578</v>
      </c>
      <c r="J79" s="165">
        <f t="shared" si="73"/>
        <v>0.3114894081275395</v>
      </c>
      <c r="K79" s="165">
        <f t="shared" si="73"/>
        <v>0.3157871069308445</v>
      </c>
      <c r="L79" s="165">
        <f t="shared" si="73"/>
        <v>0.31371767883795659</v>
      </c>
      <c r="N79" s="13"/>
      <c r="O79" s="13"/>
      <c r="P79" s="13"/>
    </row>
    <row r="80" spans="1:16" x14ac:dyDescent="0.25">
      <c r="B80" t="s">
        <v>136</v>
      </c>
      <c r="E80" s="36">
        <f>E46/E33</f>
        <v>0.28083854641678119</v>
      </c>
      <c r="F80" s="36">
        <f t="shared" ref="F80:G80" si="74">F46/F33</f>
        <v>0.25421210829983992</v>
      </c>
      <c r="G80" s="147">
        <f t="shared" si="74"/>
        <v>0.13029493481513144</v>
      </c>
      <c r="H80" s="165">
        <f>H46/H33</f>
        <v>0.24520949908006281</v>
      </c>
      <c r="I80" s="165">
        <f t="shared" ref="I80:L80" si="75">I46/I33</f>
        <v>0.23901957588784387</v>
      </c>
      <c r="J80" s="165">
        <f t="shared" si="75"/>
        <v>0.23786225012365797</v>
      </c>
      <c r="K80" s="165">
        <f t="shared" si="75"/>
        <v>0.24070009882056626</v>
      </c>
      <c r="L80" s="165">
        <f t="shared" si="75"/>
        <v>0.23919505708738625</v>
      </c>
      <c r="N80" s="13"/>
      <c r="O80" s="13"/>
      <c r="P80" s="13"/>
    </row>
    <row r="81" spans="1:16" x14ac:dyDescent="0.25">
      <c r="E81" s="36"/>
      <c r="F81" s="36"/>
      <c r="G81" s="36"/>
      <c r="N81" s="13"/>
      <c r="O81" s="13"/>
      <c r="P81" s="13"/>
    </row>
    <row r="82" spans="1:16" x14ac:dyDescent="0.25">
      <c r="N82" s="13"/>
      <c r="O82" s="13"/>
      <c r="P82" s="13"/>
    </row>
    <row r="83" spans="1:16" x14ac:dyDescent="0.25">
      <c r="A83" s="3" t="s">
        <v>78</v>
      </c>
      <c r="B83" s="2"/>
      <c r="C83" s="2"/>
      <c r="D83" s="2"/>
      <c r="E83" s="16"/>
      <c r="F83" s="17" t="s">
        <v>44</v>
      </c>
      <c r="G83" s="19"/>
      <c r="H83" s="16"/>
      <c r="I83" s="18"/>
      <c r="J83" s="17" t="s">
        <v>46</v>
      </c>
      <c r="K83" s="18"/>
      <c r="L83" s="18"/>
      <c r="N83" s="13"/>
      <c r="O83" s="13"/>
      <c r="P83" s="13"/>
    </row>
    <row r="84" spans="1:16" x14ac:dyDescent="0.25">
      <c r="A84" s="3" t="s">
        <v>162</v>
      </c>
      <c r="B84" s="2"/>
      <c r="C84" s="2"/>
      <c r="D84" s="2"/>
      <c r="E84" s="96">
        <v>2013</v>
      </c>
      <c r="F84" s="96">
        <f>E84+1</f>
        <v>2014</v>
      </c>
      <c r="G84" s="177">
        <f t="shared" ref="G84" si="76">F84+1</f>
        <v>2015</v>
      </c>
      <c r="H84" s="96">
        <f t="shared" ref="H84" si="77">G84+1</f>
        <v>2016</v>
      </c>
      <c r="I84" s="96">
        <f t="shared" ref="I84" si="78">H84+1</f>
        <v>2017</v>
      </c>
      <c r="J84" s="96">
        <f t="shared" ref="J84" si="79">I84+1</f>
        <v>2018</v>
      </c>
      <c r="K84" s="96">
        <f t="shared" ref="K84" si="80">J84+1</f>
        <v>2019</v>
      </c>
      <c r="L84" s="96">
        <f t="shared" ref="L84" si="81">K84+1</f>
        <v>2020</v>
      </c>
      <c r="N84" s="13"/>
      <c r="O84" s="13"/>
      <c r="P84" s="13"/>
    </row>
    <row r="85" spans="1:16" x14ac:dyDescent="0.25">
      <c r="G85" s="77"/>
      <c r="H85" s="167"/>
      <c r="I85" s="167"/>
      <c r="J85" s="167"/>
      <c r="K85" s="167"/>
      <c r="L85" s="167"/>
      <c r="N85" s="13"/>
      <c r="O85" s="13"/>
      <c r="P85" s="13"/>
    </row>
    <row r="86" spans="1:16" x14ac:dyDescent="0.25">
      <c r="B86" s="6" t="s">
        <v>79</v>
      </c>
      <c r="C86" s="8"/>
      <c r="F86" s="8"/>
      <c r="G86" s="77"/>
      <c r="H86" s="167"/>
      <c r="I86" s="167"/>
      <c r="J86" s="162"/>
      <c r="K86" s="167"/>
      <c r="L86" s="167"/>
      <c r="N86" s="13"/>
      <c r="O86" s="13"/>
      <c r="P86" s="13"/>
    </row>
    <row r="87" spans="1:16" x14ac:dyDescent="0.25">
      <c r="B87" t="s">
        <v>80</v>
      </c>
      <c r="G87" s="77"/>
      <c r="H87" s="167"/>
      <c r="I87" s="167"/>
      <c r="J87" s="167"/>
      <c r="K87" s="167"/>
      <c r="L87" s="167"/>
      <c r="M87" s="13"/>
      <c r="N87" s="13"/>
      <c r="O87" s="13"/>
    </row>
    <row r="88" spans="1:16" x14ac:dyDescent="0.25">
      <c r="B88" t="s">
        <v>81</v>
      </c>
      <c r="E88" s="254">
        <v>3804</v>
      </c>
      <c r="F88" s="254">
        <v>8669</v>
      </c>
      <c r="G88" s="255">
        <v>5595</v>
      </c>
      <c r="H88" s="167"/>
      <c r="I88" s="167"/>
      <c r="J88" s="162"/>
      <c r="K88" s="167"/>
      <c r="L88" s="167"/>
      <c r="M88" s="13"/>
      <c r="N88" s="13"/>
      <c r="O88" s="13"/>
    </row>
    <row r="89" spans="1:16" s="6" customFormat="1" x14ac:dyDescent="0.25">
      <c r="A89"/>
      <c r="B89" t="s">
        <v>82</v>
      </c>
      <c r="C89" s="8"/>
      <c r="D89"/>
      <c r="E89" s="254">
        <v>73218</v>
      </c>
      <c r="F89" s="254">
        <v>77040</v>
      </c>
      <c r="G89" s="255">
        <v>90931</v>
      </c>
      <c r="H89" s="167"/>
      <c r="I89" s="162"/>
      <c r="J89" s="167"/>
      <c r="K89" s="167"/>
      <c r="L89" s="167"/>
      <c r="M89" s="23"/>
      <c r="N89" s="23"/>
      <c r="O89" s="23"/>
    </row>
    <row r="90" spans="1:16" x14ac:dyDescent="0.25">
      <c r="B90" t="s">
        <v>83</v>
      </c>
      <c r="E90" s="254">
        <v>17486</v>
      </c>
      <c r="F90" s="254">
        <v>19544</v>
      </c>
      <c r="G90" s="255">
        <v>17908</v>
      </c>
      <c r="H90" s="167"/>
      <c r="I90" s="167"/>
      <c r="J90" s="167"/>
      <c r="K90" s="167"/>
      <c r="L90" s="167"/>
      <c r="M90" s="13"/>
      <c r="N90" s="13"/>
      <c r="O90" s="13"/>
    </row>
    <row r="91" spans="1:16" x14ac:dyDescent="0.25">
      <c r="B91" t="s">
        <v>84</v>
      </c>
      <c r="E91" s="254">
        <v>1938</v>
      </c>
      <c r="F91" s="254">
        <v>2660</v>
      </c>
      <c r="G91" s="255">
        <v>2902</v>
      </c>
      <c r="H91" s="167"/>
      <c r="I91" s="167"/>
      <c r="J91" s="167"/>
      <c r="K91" s="167"/>
      <c r="L91" s="167"/>
      <c r="M91" s="13"/>
      <c r="N91" s="13"/>
      <c r="O91" s="13"/>
    </row>
    <row r="92" spans="1:16" x14ac:dyDescent="0.25">
      <c r="B92" t="s">
        <v>85</v>
      </c>
      <c r="E92" s="254">
        <v>1632</v>
      </c>
      <c r="F92" s="254">
        <v>1941</v>
      </c>
      <c r="G92" s="255">
        <v>1915</v>
      </c>
      <c r="H92" s="167"/>
      <c r="I92" s="167"/>
      <c r="J92" s="167"/>
      <c r="K92" s="167"/>
      <c r="L92" s="167"/>
      <c r="M92" s="13"/>
      <c r="N92" s="13"/>
      <c r="O92" s="13"/>
    </row>
    <row r="93" spans="1:16" x14ac:dyDescent="0.25">
      <c r="B93" t="s">
        <v>86</v>
      </c>
      <c r="E93" s="254">
        <v>3388</v>
      </c>
      <c r="F93" s="254">
        <v>4392</v>
      </c>
      <c r="G93" s="255">
        <v>5461</v>
      </c>
      <c r="H93" s="167"/>
      <c r="I93" s="167"/>
      <c r="J93" s="162"/>
      <c r="K93" s="167"/>
      <c r="L93" s="167"/>
      <c r="M93" s="13"/>
      <c r="N93" s="13"/>
      <c r="O93" s="13"/>
    </row>
    <row r="94" spans="1:16" x14ac:dyDescent="0.25">
      <c r="B94" s="10" t="s">
        <v>87</v>
      </c>
      <c r="C94" s="28"/>
      <c r="D94" s="9"/>
      <c r="E94" s="30">
        <f>SUM(E88:E93)</f>
        <v>101466</v>
      </c>
      <c r="F94" s="30">
        <f t="shared" ref="F94:G94" si="82">SUM(F88:F93)</f>
        <v>114246</v>
      </c>
      <c r="G94" s="83">
        <f t="shared" si="82"/>
        <v>124712</v>
      </c>
      <c r="H94" s="169"/>
      <c r="I94" s="170"/>
      <c r="J94" s="169"/>
      <c r="K94" s="169"/>
      <c r="L94" s="169"/>
      <c r="M94" s="13"/>
      <c r="N94" s="13"/>
      <c r="O94" s="13"/>
    </row>
    <row r="95" spans="1:16" s="6" customFormat="1" x14ac:dyDescent="0.25">
      <c r="A95"/>
      <c r="B95"/>
      <c r="C95"/>
      <c r="D95"/>
      <c r="E95"/>
      <c r="F95"/>
      <c r="G95" s="77"/>
      <c r="H95" s="167"/>
      <c r="I95" s="167"/>
      <c r="J95" s="167"/>
      <c r="K95" s="167"/>
      <c r="L95" s="167"/>
      <c r="M95" s="23"/>
      <c r="N95" s="23"/>
      <c r="O95" s="23"/>
    </row>
    <row r="96" spans="1:16" x14ac:dyDescent="0.25">
      <c r="B96" t="s">
        <v>88</v>
      </c>
      <c r="E96" s="254">
        <v>9991</v>
      </c>
      <c r="F96" s="254">
        <v>13011</v>
      </c>
      <c r="G96" s="255">
        <v>14731</v>
      </c>
      <c r="H96" s="167"/>
      <c r="I96" s="167"/>
      <c r="J96" s="162"/>
      <c r="K96" s="167"/>
      <c r="L96" s="167"/>
      <c r="M96" s="13"/>
      <c r="N96" s="13"/>
      <c r="O96" s="13"/>
    </row>
    <row r="97" spans="1:15" x14ac:dyDescent="0.25">
      <c r="B97" t="s">
        <v>89</v>
      </c>
      <c r="E97" s="254">
        <v>10844</v>
      </c>
      <c r="F97" s="254">
        <v>14597</v>
      </c>
      <c r="G97" s="255">
        <v>12053</v>
      </c>
      <c r="H97" s="167"/>
      <c r="I97" s="167"/>
      <c r="J97" s="167"/>
      <c r="K97" s="167"/>
      <c r="L97" s="167"/>
      <c r="M97" s="13"/>
      <c r="N97" s="13"/>
      <c r="O97" s="13"/>
    </row>
    <row r="98" spans="1:15" x14ac:dyDescent="0.25">
      <c r="B98" t="s">
        <v>90</v>
      </c>
      <c r="E98" s="254">
        <v>14655</v>
      </c>
      <c r="F98" s="254">
        <v>20127</v>
      </c>
      <c r="G98" s="255">
        <v>16939</v>
      </c>
      <c r="H98" s="167"/>
      <c r="I98" s="167"/>
      <c r="J98" s="167"/>
      <c r="K98" s="167"/>
      <c r="L98" s="167"/>
      <c r="M98" s="13"/>
      <c r="N98" s="13"/>
      <c r="O98" s="13"/>
    </row>
    <row r="99" spans="1:15" x14ac:dyDescent="0.25">
      <c r="B99" t="s">
        <v>91</v>
      </c>
      <c r="E99" s="254">
        <v>3083</v>
      </c>
      <c r="F99" s="254">
        <v>6981</v>
      </c>
      <c r="G99" s="255">
        <v>4835</v>
      </c>
      <c r="H99" s="167"/>
      <c r="I99" s="167"/>
      <c r="J99" s="162"/>
      <c r="K99" s="167"/>
      <c r="L99" s="167"/>
      <c r="M99" s="13"/>
      <c r="N99" s="13"/>
      <c r="O99" s="13"/>
    </row>
    <row r="100" spans="1:15" x14ac:dyDescent="0.25">
      <c r="B100" t="s">
        <v>92</v>
      </c>
      <c r="E100" s="254">
        <v>2392</v>
      </c>
      <c r="F100" s="254">
        <v>3422</v>
      </c>
      <c r="G100" s="255">
        <v>2953</v>
      </c>
      <c r="H100" s="167"/>
      <c r="I100" s="167"/>
      <c r="J100" s="167"/>
      <c r="K100" s="167"/>
      <c r="L100" s="167"/>
      <c r="M100" s="13"/>
      <c r="N100" s="13"/>
      <c r="O100" s="13"/>
    </row>
    <row r="101" spans="1:15" x14ac:dyDescent="0.25">
      <c r="B101" s="10" t="s">
        <v>93</v>
      </c>
      <c r="C101" s="9"/>
      <c r="D101" s="9"/>
      <c r="E101" s="30">
        <f>E94+SUM(E96:E100)</f>
        <v>142431</v>
      </c>
      <c r="F101" s="30">
        <f t="shared" ref="F101:G101" si="83">F94+SUM(F96:F100)</f>
        <v>172384</v>
      </c>
      <c r="G101" s="83">
        <f t="shared" si="83"/>
        <v>176223</v>
      </c>
      <c r="H101" s="169"/>
      <c r="I101" s="169"/>
      <c r="J101" s="169"/>
      <c r="K101" s="169"/>
      <c r="L101" s="169"/>
      <c r="M101" s="13"/>
      <c r="N101" s="13"/>
      <c r="O101" s="13"/>
    </row>
    <row r="102" spans="1:15" s="6" customFormat="1" x14ac:dyDescent="0.25">
      <c r="A102"/>
      <c r="B102"/>
      <c r="C102"/>
      <c r="D102"/>
      <c r="E102"/>
      <c r="F102" s="8"/>
      <c r="G102" s="77"/>
      <c r="H102" s="167"/>
      <c r="I102" s="167"/>
      <c r="J102" s="162"/>
      <c r="K102" s="167"/>
      <c r="L102" s="167"/>
      <c r="M102" s="23"/>
      <c r="N102" s="23"/>
      <c r="O102" s="23"/>
    </row>
    <row r="103" spans="1:15" x14ac:dyDescent="0.25">
      <c r="B103" s="6" t="s">
        <v>94</v>
      </c>
      <c r="G103" s="77"/>
      <c r="H103" s="167"/>
      <c r="I103" s="167"/>
      <c r="J103" s="167"/>
      <c r="K103" s="167"/>
      <c r="L103" s="167"/>
      <c r="M103" s="13"/>
      <c r="N103" s="13"/>
      <c r="O103" s="13"/>
    </row>
    <row r="104" spans="1:15" x14ac:dyDescent="0.25">
      <c r="B104" t="s">
        <v>95</v>
      </c>
      <c r="G104" s="77"/>
      <c r="H104" s="167"/>
      <c r="I104" s="167"/>
      <c r="J104" s="167"/>
      <c r="K104" s="167"/>
      <c r="L104" s="167"/>
      <c r="M104" s="13"/>
      <c r="N104" s="13"/>
      <c r="O104" s="13"/>
    </row>
    <row r="105" spans="1:15" x14ac:dyDescent="0.25">
      <c r="B105" t="s">
        <v>96</v>
      </c>
      <c r="E105" s="254">
        <v>4828</v>
      </c>
      <c r="F105" s="254">
        <v>7432</v>
      </c>
      <c r="G105" s="255">
        <v>6591</v>
      </c>
      <c r="H105" s="167"/>
      <c r="I105" s="167"/>
      <c r="J105" s="167"/>
      <c r="K105" s="167"/>
      <c r="L105" s="167"/>
      <c r="M105" s="13"/>
      <c r="N105" s="13"/>
      <c r="O105" s="13"/>
    </row>
    <row r="106" spans="1:15" x14ac:dyDescent="0.25">
      <c r="B106" t="s">
        <v>97</v>
      </c>
      <c r="E106" s="253" t="s">
        <v>118</v>
      </c>
      <c r="F106" s="254">
        <v>2000</v>
      </c>
      <c r="G106" s="255">
        <v>4985</v>
      </c>
      <c r="H106" s="167"/>
      <c r="I106" s="167"/>
      <c r="J106" s="167"/>
      <c r="K106" s="167"/>
      <c r="L106" s="167"/>
      <c r="M106" s="13"/>
      <c r="N106" s="13"/>
      <c r="O106" s="13"/>
    </row>
    <row r="107" spans="1:15" x14ac:dyDescent="0.25">
      <c r="B107" t="s">
        <v>98</v>
      </c>
      <c r="E107" s="254">
        <v>2999</v>
      </c>
      <c r="F107" s="253" t="s">
        <v>118</v>
      </c>
      <c r="G107" s="255">
        <v>2499</v>
      </c>
      <c r="H107" s="167"/>
      <c r="I107" s="167"/>
      <c r="J107" s="167"/>
      <c r="K107" s="167"/>
      <c r="L107" s="167"/>
      <c r="M107" s="13"/>
      <c r="N107" s="13"/>
      <c r="O107" s="13"/>
    </row>
    <row r="108" spans="1:15" x14ac:dyDescent="0.25">
      <c r="B108" t="s">
        <v>99</v>
      </c>
      <c r="E108" s="254">
        <v>4117</v>
      </c>
      <c r="F108" s="254">
        <v>4797</v>
      </c>
      <c r="G108" s="255">
        <v>5096</v>
      </c>
      <c r="H108" s="167"/>
      <c r="I108" s="167"/>
      <c r="J108" s="167"/>
      <c r="K108" s="167"/>
      <c r="L108" s="167"/>
    </row>
    <row r="109" spans="1:15" x14ac:dyDescent="0.25">
      <c r="B109" t="s">
        <v>100</v>
      </c>
      <c r="E109" s="253">
        <v>592</v>
      </c>
      <c r="F109" s="253">
        <v>782</v>
      </c>
      <c r="G109" s="256">
        <v>606</v>
      </c>
      <c r="H109" s="167"/>
      <c r="I109" s="167"/>
      <c r="J109" s="167"/>
      <c r="K109" s="167"/>
      <c r="L109" s="167"/>
    </row>
    <row r="110" spans="1:15" x14ac:dyDescent="0.25">
      <c r="B110" t="s">
        <v>101</v>
      </c>
      <c r="E110" s="254">
        <v>20639</v>
      </c>
      <c r="F110" s="254">
        <v>23150</v>
      </c>
      <c r="G110" s="255">
        <v>23223</v>
      </c>
      <c r="H110" s="167"/>
      <c r="I110" s="167"/>
      <c r="J110" s="162"/>
      <c r="K110" s="167"/>
      <c r="L110" s="167"/>
    </row>
    <row r="111" spans="1:15" x14ac:dyDescent="0.25">
      <c r="B111" t="s">
        <v>102</v>
      </c>
      <c r="E111" s="253">
        <v>645</v>
      </c>
      <c r="F111" s="254">
        <v>558</v>
      </c>
      <c r="G111" s="256">
        <v>92</v>
      </c>
      <c r="H111" s="167"/>
      <c r="I111" s="167"/>
      <c r="J111" s="167"/>
      <c r="K111" s="167"/>
      <c r="L111" s="167"/>
    </row>
    <row r="112" spans="1:15" x14ac:dyDescent="0.25">
      <c r="B112" t="s">
        <v>103</v>
      </c>
      <c r="C112" s="8"/>
      <c r="E112" s="254">
        <v>3597</v>
      </c>
      <c r="F112" s="254">
        <v>6906</v>
      </c>
      <c r="G112" s="255">
        <v>6766</v>
      </c>
      <c r="H112" s="167"/>
      <c r="I112" s="162"/>
      <c r="J112" s="167"/>
      <c r="K112" s="167"/>
      <c r="L112" s="167"/>
    </row>
    <row r="113" spans="1:13" x14ac:dyDescent="0.25">
      <c r="A113" s="6"/>
      <c r="B113" s="10" t="s">
        <v>104</v>
      </c>
      <c r="C113" s="10"/>
      <c r="D113" s="10"/>
      <c r="E113" s="30">
        <f>SUM(E105:E112)</f>
        <v>37417</v>
      </c>
      <c r="F113" s="30">
        <f t="shared" ref="F113:G113" si="84">SUM(F105:F112)</f>
        <v>45625</v>
      </c>
      <c r="G113" s="83">
        <f t="shared" si="84"/>
        <v>49858</v>
      </c>
      <c r="H113" s="171"/>
      <c r="I113" s="171"/>
      <c r="J113" s="171"/>
      <c r="K113" s="171"/>
      <c r="L113" s="171"/>
    </row>
    <row r="114" spans="1:13" x14ac:dyDescent="0.25">
      <c r="G114" s="77"/>
      <c r="H114" s="167"/>
      <c r="I114" s="167"/>
      <c r="J114" s="167"/>
      <c r="K114" s="167"/>
      <c r="L114" s="167"/>
    </row>
    <row r="115" spans="1:13" x14ac:dyDescent="0.25">
      <c r="B115" t="s">
        <v>105</v>
      </c>
      <c r="C115" s="8"/>
      <c r="E115" s="254">
        <v>12601</v>
      </c>
      <c r="F115" s="254">
        <v>20645</v>
      </c>
      <c r="G115" s="255">
        <v>27808</v>
      </c>
      <c r="H115" s="167"/>
      <c r="I115" s="162"/>
      <c r="J115" s="167"/>
      <c r="K115" s="167"/>
      <c r="L115" s="167"/>
    </row>
    <row r="116" spans="1:13" x14ac:dyDescent="0.25">
      <c r="B116" t="s">
        <v>106</v>
      </c>
      <c r="E116" s="254">
        <v>1760</v>
      </c>
      <c r="F116" s="254">
        <v>2008</v>
      </c>
      <c r="G116" s="255">
        <v>2095</v>
      </c>
      <c r="H116" s="167"/>
      <c r="I116" s="167"/>
      <c r="J116" s="167"/>
      <c r="K116" s="167"/>
      <c r="L116" s="167"/>
    </row>
    <row r="117" spans="1:13" x14ac:dyDescent="0.25">
      <c r="B117" t="s">
        <v>107</v>
      </c>
      <c r="E117" s="254">
        <v>1709</v>
      </c>
      <c r="F117" s="254">
        <v>2728</v>
      </c>
      <c r="G117" s="255">
        <v>2835</v>
      </c>
      <c r="H117" s="167"/>
      <c r="I117" s="167"/>
      <c r="J117" s="167"/>
      <c r="K117" s="167"/>
      <c r="L117" s="167"/>
    </row>
    <row r="118" spans="1:13" x14ac:dyDescent="0.25">
      <c r="B118" t="s">
        <v>108</v>
      </c>
      <c r="E118" s="254">
        <v>10000</v>
      </c>
      <c r="F118" s="254">
        <v>11594</v>
      </c>
      <c r="G118" s="255">
        <v>13544</v>
      </c>
      <c r="H118" s="167"/>
      <c r="I118" s="167"/>
      <c r="J118" s="162"/>
      <c r="K118" s="167"/>
      <c r="L118" s="167"/>
    </row>
    <row r="119" spans="1:13" x14ac:dyDescent="0.25">
      <c r="A119" s="6"/>
      <c r="B119" s="10" t="s">
        <v>109</v>
      </c>
      <c r="C119" s="10"/>
      <c r="D119" s="10"/>
      <c r="E119" s="30">
        <f>E113+SUM(E115:E118)</f>
        <v>63487</v>
      </c>
      <c r="F119" s="30">
        <f t="shared" ref="F119:G119" si="85">F113+SUM(F115:F118)</f>
        <v>82600</v>
      </c>
      <c r="G119" s="83">
        <f t="shared" si="85"/>
        <v>96140</v>
      </c>
      <c r="H119" s="171"/>
      <c r="I119" s="171"/>
      <c r="J119" s="171"/>
      <c r="K119" s="171"/>
      <c r="L119" s="171"/>
    </row>
    <row r="120" spans="1:13" x14ac:dyDescent="0.25">
      <c r="G120" s="77"/>
      <c r="H120" s="167"/>
      <c r="I120" s="167"/>
      <c r="J120" s="167"/>
      <c r="K120" s="167"/>
      <c r="L120" s="167"/>
    </row>
    <row r="121" spans="1:13" x14ac:dyDescent="0.25">
      <c r="B121" t="s">
        <v>110</v>
      </c>
      <c r="F121" s="8"/>
      <c r="G121" s="77"/>
      <c r="H121" s="167"/>
      <c r="I121" s="167"/>
      <c r="J121" s="162"/>
      <c r="K121" s="167"/>
      <c r="L121" s="167"/>
    </row>
    <row r="122" spans="1:13" x14ac:dyDescent="0.25">
      <c r="B122" t="s">
        <v>111</v>
      </c>
      <c r="G122" s="77"/>
      <c r="H122" s="167"/>
      <c r="I122" s="167"/>
      <c r="J122" s="167"/>
      <c r="K122" s="167"/>
      <c r="L122" s="167"/>
    </row>
    <row r="123" spans="1:13" x14ac:dyDescent="0.25">
      <c r="B123" t="s">
        <v>112</v>
      </c>
      <c r="E123" s="254">
        <v>67306</v>
      </c>
      <c r="F123" s="254">
        <v>68366</v>
      </c>
      <c r="G123" s="255">
        <v>68465</v>
      </c>
      <c r="H123" s="167"/>
      <c r="I123" s="167"/>
      <c r="J123" s="167"/>
      <c r="K123" s="167"/>
      <c r="L123" s="167"/>
    </row>
    <row r="124" spans="1:13" x14ac:dyDescent="0.25">
      <c r="B124" t="s">
        <v>113</v>
      </c>
      <c r="E124" s="254">
        <v>9895</v>
      </c>
      <c r="F124" s="254">
        <v>17710</v>
      </c>
      <c r="G124" s="255">
        <v>9096</v>
      </c>
      <c r="H124" s="167"/>
      <c r="I124" s="167"/>
      <c r="J124" s="167"/>
      <c r="K124" s="167"/>
      <c r="L124" s="167"/>
    </row>
    <row r="125" spans="1:13" x14ac:dyDescent="0.25">
      <c r="B125" t="s">
        <v>114</v>
      </c>
      <c r="E125" s="254">
        <v>1743</v>
      </c>
      <c r="F125" s="254">
        <v>3708</v>
      </c>
      <c r="G125" s="255">
        <v>2522</v>
      </c>
      <c r="H125" s="167"/>
      <c r="I125" s="167"/>
      <c r="J125" s="167"/>
      <c r="K125" s="167"/>
      <c r="L125" s="167"/>
    </row>
    <row r="126" spans="1:13" x14ac:dyDescent="0.25">
      <c r="A126" s="6"/>
      <c r="B126" s="10" t="s">
        <v>115</v>
      </c>
      <c r="C126" s="10"/>
      <c r="D126" s="10"/>
      <c r="E126" s="30">
        <f>SUM(E123:E125)</f>
        <v>78944</v>
      </c>
      <c r="F126" s="30">
        <f t="shared" ref="F126:G126" si="86">SUM(F123:F125)</f>
        <v>89784</v>
      </c>
      <c r="G126" s="83">
        <f t="shared" si="86"/>
        <v>80083</v>
      </c>
      <c r="H126" s="171"/>
      <c r="I126" s="171"/>
      <c r="J126" s="160"/>
      <c r="K126" s="171"/>
      <c r="L126" s="171"/>
    </row>
    <row r="127" spans="1:13" x14ac:dyDescent="0.25">
      <c r="G127" s="77"/>
      <c r="H127" s="167"/>
      <c r="I127" s="167"/>
      <c r="J127" s="167"/>
      <c r="K127" s="167"/>
      <c r="L127" s="167"/>
    </row>
    <row r="128" spans="1:13" ht="15.75" thickBot="1" x14ac:dyDescent="0.3">
      <c r="A128" s="13"/>
      <c r="B128" s="281" t="s">
        <v>116</v>
      </c>
      <c r="C128" s="84"/>
      <c r="D128" s="84"/>
      <c r="E128" s="172">
        <f>E126+E119</f>
        <v>142431</v>
      </c>
      <c r="F128" s="172">
        <f t="shared" ref="F128:G128" si="87">F126+F119</f>
        <v>172384</v>
      </c>
      <c r="G128" s="173">
        <f t="shared" si="87"/>
        <v>176223</v>
      </c>
      <c r="H128" s="174"/>
      <c r="I128" s="174"/>
      <c r="J128" s="174"/>
      <c r="K128" s="174"/>
      <c r="L128" s="174"/>
      <c r="M128" s="13"/>
    </row>
    <row r="129" spans="2:12" ht="15.75" thickTop="1" x14ac:dyDescent="0.25">
      <c r="B129" t="s">
        <v>117</v>
      </c>
      <c r="E129" s="31">
        <f>E101-E128</f>
        <v>0</v>
      </c>
      <c r="F129" s="31">
        <f t="shared" ref="F129:G129" si="88">F101-F128</f>
        <v>0</v>
      </c>
      <c r="G129" s="82">
        <f t="shared" si="88"/>
        <v>0</v>
      </c>
      <c r="H129" s="26"/>
      <c r="I129" s="26"/>
      <c r="J129" s="26"/>
      <c r="K129" s="26"/>
      <c r="L129" s="26"/>
    </row>
    <row r="132" spans="2:12" s="283" customFormat="1" x14ac:dyDescent="0.25"/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48F8E-CFE4-4867-A09A-2246ABC566F0}">
  <dimension ref="A2:P135"/>
  <sheetViews>
    <sheetView showGridLines="0" topLeftCell="A120" zoomScale="80" zoomScaleNormal="80" workbookViewId="0">
      <selection activeCell="G144" sqref="G144"/>
    </sheetView>
  </sheetViews>
  <sheetFormatPr defaultRowHeight="15" x14ac:dyDescent="0.25"/>
  <cols>
    <col min="2" max="2" width="15.28515625" customWidth="1"/>
    <col min="5" max="5" width="10.85546875" bestFit="1" customWidth="1"/>
    <col min="6" max="6" width="12.28515625" bestFit="1" customWidth="1"/>
    <col min="7" max="8" width="14.28515625" bestFit="1" customWidth="1"/>
    <col min="9" max="9" width="11.42578125" bestFit="1" customWidth="1"/>
    <col min="10" max="10" width="13.85546875" bestFit="1" customWidth="1"/>
    <col min="11" max="11" width="11.28515625" bestFit="1" customWidth="1"/>
    <col min="12" max="13" width="16.5703125" bestFit="1" customWidth="1"/>
    <col min="14" max="14" width="15.140625" bestFit="1" customWidth="1"/>
  </cols>
  <sheetData>
    <row r="2" spans="1:14" x14ac:dyDescent="0.25">
      <c r="A2" s="279" t="s">
        <v>359</v>
      </c>
      <c r="B2" s="280"/>
      <c r="C2" s="282"/>
      <c r="D2" s="282"/>
    </row>
    <row r="3" spans="1:14" x14ac:dyDescent="0.25">
      <c r="A3" s="181" t="s">
        <v>360</v>
      </c>
    </row>
    <row r="4" spans="1:14" x14ac:dyDescent="0.25">
      <c r="A4" s="181" t="s">
        <v>361</v>
      </c>
    </row>
    <row r="5" spans="1:14" x14ac:dyDescent="0.25">
      <c r="A5" s="182" t="s">
        <v>380</v>
      </c>
    </row>
    <row r="6" spans="1:14" x14ac:dyDescent="0.25">
      <c r="A6" s="182" t="s">
        <v>381</v>
      </c>
    </row>
    <row r="7" spans="1:14" s="179" customFormat="1" x14ac:dyDescent="0.25">
      <c r="A7" s="180" t="s">
        <v>382</v>
      </c>
    </row>
    <row r="9" spans="1:14" x14ac:dyDescent="0.25">
      <c r="A9" s="258" t="s">
        <v>55</v>
      </c>
      <c r="B9" s="258"/>
      <c r="C9" s="258"/>
      <c r="D9" s="258"/>
      <c r="E9" s="258"/>
      <c r="F9" s="258"/>
      <c r="G9" s="258"/>
      <c r="H9" s="258"/>
      <c r="I9" s="258"/>
      <c r="J9" s="258"/>
      <c r="K9" s="258"/>
      <c r="L9" s="258"/>
      <c r="M9" s="258"/>
      <c r="N9" s="258"/>
    </row>
    <row r="11" spans="1:14" x14ac:dyDescent="0.25">
      <c r="B11" s="7" t="s">
        <v>27</v>
      </c>
      <c r="E11" s="241"/>
      <c r="F11" s="293">
        <v>42369</v>
      </c>
      <c r="I11" s="26"/>
      <c r="J11" s="185" t="s">
        <v>56</v>
      </c>
      <c r="K11" s="141"/>
      <c r="L11" s="141"/>
      <c r="M11" s="142"/>
      <c r="N11" s="40"/>
    </row>
    <row r="12" spans="1:14" x14ac:dyDescent="0.25">
      <c r="B12" s="7" t="s">
        <v>25</v>
      </c>
      <c r="E12" s="241"/>
      <c r="F12" s="294">
        <v>131.08000000000001</v>
      </c>
      <c r="J12" s="197" t="s">
        <v>164</v>
      </c>
      <c r="K12" s="138"/>
      <c r="L12" s="202" t="s">
        <v>57</v>
      </c>
      <c r="M12" s="203" t="s">
        <v>163</v>
      </c>
      <c r="N12" s="23"/>
    </row>
    <row r="13" spans="1:14" x14ac:dyDescent="0.25">
      <c r="B13" s="7" t="s">
        <v>40</v>
      </c>
      <c r="E13" s="241"/>
      <c r="F13" s="294">
        <v>196</v>
      </c>
      <c r="J13" s="183">
        <v>2016</v>
      </c>
      <c r="K13" s="13"/>
      <c r="L13" s="198">
        <f>141471/10^3</f>
        <v>141.471</v>
      </c>
      <c r="M13" s="134"/>
      <c r="N13" s="13"/>
    </row>
    <row r="14" spans="1:14" x14ac:dyDescent="0.25">
      <c r="B14" s="7" t="s">
        <v>28</v>
      </c>
      <c r="E14" s="241"/>
      <c r="F14" s="295">
        <v>0.23</v>
      </c>
      <c r="J14" s="183">
        <f>J13+1</f>
        <v>2017</v>
      </c>
      <c r="K14" s="13"/>
      <c r="L14" s="198">
        <f>150087/10^3</f>
        <v>150.08699999999999</v>
      </c>
      <c r="M14" s="134"/>
      <c r="N14" s="13"/>
    </row>
    <row r="15" spans="1:14" x14ac:dyDescent="0.25">
      <c r="B15" s="7"/>
      <c r="E15" s="241"/>
      <c r="J15" s="183">
        <f t="shared" ref="J15:J23" si="0">J14+1</f>
        <v>2018</v>
      </c>
      <c r="K15" s="13"/>
      <c r="L15" s="198">
        <v>177</v>
      </c>
      <c r="M15" s="134"/>
      <c r="N15" s="13"/>
    </row>
    <row r="16" spans="1:14" x14ac:dyDescent="0.25">
      <c r="B16" s="7" t="s">
        <v>29</v>
      </c>
      <c r="E16" s="241"/>
      <c r="F16" s="8">
        <f>129024/10^3</f>
        <v>129.024</v>
      </c>
      <c r="J16" s="183">
        <f t="shared" si="0"/>
        <v>2019</v>
      </c>
      <c r="K16" s="13"/>
      <c r="L16" s="198">
        <v>181</v>
      </c>
      <c r="M16" s="134"/>
      <c r="N16" s="13"/>
    </row>
    <row r="17" spans="2:14" x14ac:dyDescent="0.25">
      <c r="B17" s="7" t="s">
        <v>30</v>
      </c>
      <c r="E17" s="241"/>
      <c r="F17" s="8">
        <f>129024/10^3</f>
        <v>129.024</v>
      </c>
      <c r="J17" s="183">
        <f t="shared" si="0"/>
        <v>2020</v>
      </c>
      <c r="K17" s="13"/>
      <c r="L17" s="198">
        <v>175</v>
      </c>
      <c r="M17" s="199">
        <f>993730/10^3</f>
        <v>993.73</v>
      </c>
      <c r="N17" s="13"/>
    </row>
    <row r="18" spans="2:14" x14ac:dyDescent="0.25">
      <c r="B18" s="7"/>
      <c r="E18" s="241"/>
      <c r="J18" s="183">
        <f t="shared" si="0"/>
        <v>2021</v>
      </c>
      <c r="K18" s="13"/>
      <c r="L18" s="198">
        <v>175</v>
      </c>
      <c r="M18" s="199">
        <f>M17-L18</f>
        <v>818.73</v>
      </c>
      <c r="N18" s="13"/>
    </row>
    <row r="19" spans="2:14" x14ac:dyDescent="0.25">
      <c r="B19" s="7"/>
      <c r="E19" s="241"/>
      <c r="J19" s="183">
        <f t="shared" si="0"/>
        <v>2022</v>
      </c>
      <c r="K19" s="13"/>
      <c r="L19" s="198">
        <v>175</v>
      </c>
      <c r="M19" s="199">
        <f t="shared" ref="M19:M23" si="1">M18-L19</f>
        <v>643.73</v>
      </c>
      <c r="N19" s="13"/>
    </row>
    <row r="20" spans="2:14" x14ac:dyDescent="0.25">
      <c r="B20" s="7" t="s">
        <v>31</v>
      </c>
      <c r="E20" s="241"/>
      <c r="F20" s="20">
        <f>F17*F13</f>
        <v>25288.704000000002</v>
      </c>
      <c r="J20" s="183">
        <f t="shared" si="0"/>
        <v>2023</v>
      </c>
      <c r="K20" s="13"/>
      <c r="L20" s="198">
        <v>175</v>
      </c>
      <c r="M20" s="199">
        <f t="shared" si="1"/>
        <v>468.73</v>
      </c>
      <c r="N20" s="13"/>
    </row>
    <row r="21" spans="2:14" x14ac:dyDescent="0.25">
      <c r="B21" s="7" t="s">
        <v>32</v>
      </c>
      <c r="E21" s="241"/>
      <c r="F21" s="20">
        <f>546237/10^3</f>
        <v>546.23699999999997</v>
      </c>
      <c r="J21" s="183">
        <f t="shared" si="0"/>
        <v>2024</v>
      </c>
      <c r="K21" s="13"/>
      <c r="L21" s="198">
        <v>175</v>
      </c>
      <c r="M21" s="199">
        <f t="shared" si="1"/>
        <v>293.73</v>
      </c>
      <c r="N21" s="13"/>
    </row>
    <row r="22" spans="2:14" x14ac:dyDescent="0.25">
      <c r="B22" s="7" t="s">
        <v>33</v>
      </c>
      <c r="E22" s="241"/>
      <c r="F22" s="20">
        <f>2573145/10^3</f>
        <v>2573.145</v>
      </c>
      <c r="J22" s="183">
        <f t="shared" si="0"/>
        <v>2025</v>
      </c>
      <c r="K22" s="13"/>
      <c r="L22" s="198">
        <v>175</v>
      </c>
      <c r="M22" s="199">
        <f t="shared" si="1"/>
        <v>118.73000000000002</v>
      </c>
      <c r="N22" s="13"/>
    </row>
    <row r="23" spans="2:14" x14ac:dyDescent="0.25">
      <c r="B23" s="7" t="s">
        <v>34</v>
      </c>
      <c r="E23" s="241"/>
      <c r="F23" s="20">
        <f>1126534/10^3</f>
        <v>1126.5340000000001</v>
      </c>
      <c r="J23" s="184">
        <f t="shared" si="0"/>
        <v>2026</v>
      </c>
      <c r="K23" s="68"/>
      <c r="L23" s="200">
        <v>119</v>
      </c>
      <c r="M23" s="201">
        <f t="shared" si="1"/>
        <v>-0.26999999999998181</v>
      </c>
      <c r="N23" s="13"/>
    </row>
    <row r="24" spans="2:14" x14ac:dyDescent="0.25">
      <c r="B24" s="7" t="s">
        <v>35</v>
      </c>
      <c r="E24" s="241"/>
      <c r="F24" s="20">
        <f>L27</f>
        <v>1408.6829026198689</v>
      </c>
    </row>
    <row r="25" spans="2:14" x14ac:dyDescent="0.25">
      <c r="B25" s="7" t="s">
        <v>36</v>
      </c>
      <c r="E25" s="241"/>
      <c r="F25" s="294">
        <v>0</v>
      </c>
    </row>
    <row r="26" spans="2:14" x14ac:dyDescent="0.25">
      <c r="B26" s="7" t="s">
        <v>37</v>
      </c>
      <c r="E26" s="241"/>
      <c r="F26" s="20">
        <f>26810/10^3</f>
        <v>26.81</v>
      </c>
      <c r="J26" s="262" t="s">
        <v>58</v>
      </c>
      <c r="K26" s="9"/>
      <c r="L26" s="260">
        <f>L31</f>
        <v>4.5166856925756338E-2</v>
      </c>
    </row>
    <row r="27" spans="2:14" x14ac:dyDescent="0.25">
      <c r="B27" s="7" t="s">
        <v>38</v>
      </c>
      <c r="E27" s="241"/>
      <c r="F27" s="294">
        <v>0</v>
      </c>
      <c r="J27" s="263" t="s">
        <v>54</v>
      </c>
      <c r="K27" s="68"/>
      <c r="L27" s="264">
        <f>NPV(L26,L13:L23)</f>
        <v>1408.6829026198689</v>
      </c>
    </row>
    <row r="28" spans="2:14" x14ac:dyDescent="0.25">
      <c r="B28" s="10" t="s">
        <v>39</v>
      </c>
      <c r="C28" s="9"/>
      <c r="D28" s="9"/>
      <c r="E28" s="9"/>
      <c r="F28" s="257">
        <f>SUM(F20:F27)</f>
        <v>30970.112902619872</v>
      </c>
      <c r="G28" s="9"/>
    </row>
    <row r="29" spans="2:14" x14ac:dyDescent="0.25">
      <c r="B29" s="5"/>
      <c r="J29" s="259" t="s">
        <v>52</v>
      </c>
      <c r="K29" s="9"/>
      <c r="L29" s="150">
        <f>F23</f>
        <v>1126.5340000000001</v>
      </c>
    </row>
    <row r="30" spans="2:14" x14ac:dyDescent="0.25">
      <c r="B30" s="23"/>
      <c r="J30" s="183" t="s">
        <v>59</v>
      </c>
      <c r="K30" s="13"/>
      <c r="L30" s="77">
        <f>50882/10^3</f>
        <v>50.881999999999998</v>
      </c>
    </row>
    <row r="31" spans="2:14" s="241" customFormat="1" x14ac:dyDescent="0.25">
      <c r="B31" s="23"/>
      <c r="J31" s="263" t="s">
        <v>58</v>
      </c>
      <c r="K31" s="68"/>
      <c r="L31" s="265">
        <f>L30/L29</f>
        <v>4.5166856925756338E-2</v>
      </c>
    </row>
    <row r="33" spans="1:15" x14ac:dyDescent="0.25">
      <c r="A33" s="3" t="s">
        <v>155</v>
      </c>
      <c r="B33" s="2"/>
      <c r="C33" s="2"/>
      <c r="D33" s="2"/>
      <c r="E33" s="2"/>
      <c r="F33" s="2"/>
      <c r="G33" s="16"/>
      <c r="H33" s="17" t="s">
        <v>44</v>
      </c>
      <c r="I33" s="53"/>
      <c r="J33" s="18"/>
      <c r="K33" s="18"/>
      <c r="L33" s="17" t="s">
        <v>46</v>
      </c>
      <c r="M33" s="18"/>
      <c r="N33" s="19"/>
    </row>
    <row r="34" spans="1:15" x14ac:dyDescent="0.25">
      <c r="A34" s="3" t="s">
        <v>162</v>
      </c>
      <c r="B34" s="2"/>
      <c r="C34" s="2"/>
      <c r="D34" s="2"/>
      <c r="E34" s="2"/>
      <c r="F34" s="2"/>
      <c r="G34" s="204">
        <v>2013</v>
      </c>
      <c r="H34" s="205">
        <f>G34+1</f>
        <v>2014</v>
      </c>
      <c r="I34" s="206">
        <f t="shared" ref="I34:N34" si="2">H34+1</f>
        <v>2015</v>
      </c>
      <c r="J34" s="96">
        <f t="shared" si="2"/>
        <v>2016</v>
      </c>
      <c r="K34" s="96">
        <f t="shared" si="2"/>
        <v>2017</v>
      </c>
      <c r="L34" s="96">
        <f t="shared" si="2"/>
        <v>2018</v>
      </c>
      <c r="M34" s="96">
        <f t="shared" si="2"/>
        <v>2019</v>
      </c>
      <c r="N34" s="96">
        <f t="shared" si="2"/>
        <v>2020</v>
      </c>
      <c r="O34" s="6"/>
    </row>
    <row r="35" spans="1:15" s="40" customFormat="1" x14ac:dyDescent="0.25">
      <c r="A35" s="39"/>
      <c r="G35" s="41"/>
      <c r="H35" s="41"/>
      <c r="I35" s="54"/>
      <c r="J35" s="186"/>
      <c r="K35" s="186"/>
      <c r="L35" s="186"/>
      <c r="M35" s="186"/>
      <c r="N35" s="186"/>
    </row>
    <row r="36" spans="1:15" x14ac:dyDescent="0.25">
      <c r="A36" s="26"/>
      <c r="B36" t="s">
        <v>137</v>
      </c>
      <c r="F36" s="44">
        <v>972309</v>
      </c>
      <c r="G36" s="45">
        <v>1528545</v>
      </c>
      <c r="H36" s="45">
        <v>2218767</v>
      </c>
      <c r="I36" s="55">
        <v>2990911</v>
      </c>
      <c r="J36" s="187">
        <f>I36*(1+J69)</f>
        <v>4358393.5956396339</v>
      </c>
      <c r="K36" s="187">
        <f t="shared" ref="K36:N36" si="3">J36*(1+K69)</f>
        <v>6184231.5131920204</v>
      </c>
      <c r="L36" s="187">
        <f t="shared" si="3"/>
        <v>8707693.050615143</v>
      </c>
      <c r="M36" s="187">
        <f t="shared" si="3"/>
        <v>12435122.542316224</v>
      </c>
      <c r="N36" s="187">
        <f t="shared" si="3"/>
        <v>17637289.251553573</v>
      </c>
    </row>
    <row r="37" spans="1:15" x14ac:dyDescent="0.25">
      <c r="B37" t="s">
        <v>61</v>
      </c>
      <c r="F37" s="44">
        <v>125521</v>
      </c>
      <c r="G37" s="45">
        <v>202908</v>
      </c>
      <c r="H37" s="45">
        <v>293797</v>
      </c>
      <c r="I37" s="55">
        <v>418858</v>
      </c>
      <c r="J37" s="187">
        <f>J36*J70</f>
        <v>588679.50631651375</v>
      </c>
      <c r="K37" s="187">
        <f t="shared" ref="K37:N37" si="4">K36*K70</f>
        <v>840078.69382450497</v>
      </c>
      <c r="L37" s="187">
        <f t="shared" si="4"/>
        <v>1192819.4722604845</v>
      </c>
      <c r="M37" s="187">
        <f t="shared" si="4"/>
        <v>1690739.8112386779</v>
      </c>
      <c r="N37" s="187">
        <f t="shared" si="4"/>
        <v>2403324.5088739893</v>
      </c>
    </row>
    <row r="38" spans="1:15" x14ac:dyDescent="0.25">
      <c r="B38" s="10" t="s">
        <v>138</v>
      </c>
      <c r="C38" s="9"/>
      <c r="D38" s="9"/>
      <c r="E38" s="9"/>
      <c r="F38" s="47">
        <f>F36-F37</f>
        <v>846788</v>
      </c>
      <c r="G38" s="48">
        <f>G36-G37</f>
        <v>1325637</v>
      </c>
      <c r="H38" s="48">
        <f t="shared" ref="H38:I38" si="5">H36-H37</f>
        <v>1924970</v>
      </c>
      <c r="I38" s="56">
        <f t="shared" si="5"/>
        <v>2572053</v>
      </c>
      <c r="J38" s="188">
        <f t="shared" ref="J38" si="6">J36-J37</f>
        <v>3769714.0893231202</v>
      </c>
      <c r="K38" s="188">
        <f t="shared" ref="K38" si="7">K36-K37</f>
        <v>5344152.8193675149</v>
      </c>
      <c r="L38" s="188">
        <f t="shared" ref="L38" si="8">L36-L37</f>
        <v>7514873.5783546586</v>
      </c>
      <c r="M38" s="188">
        <f t="shared" ref="M38" si="9">M36-M37</f>
        <v>10744382.731077546</v>
      </c>
      <c r="N38" s="188">
        <f t="shared" ref="N38" si="10">N36-N37</f>
        <v>15233964.742679583</v>
      </c>
    </row>
    <row r="39" spans="1:15" x14ac:dyDescent="0.25">
      <c r="G39" s="12"/>
      <c r="H39" s="12"/>
      <c r="I39" s="57"/>
      <c r="J39" s="159"/>
      <c r="K39" s="159"/>
      <c r="L39" s="159"/>
      <c r="M39" s="159"/>
      <c r="N39" s="159"/>
    </row>
    <row r="40" spans="1:15" x14ac:dyDescent="0.25">
      <c r="B40" t="s">
        <v>64</v>
      </c>
      <c r="G40" s="45">
        <v>522100</v>
      </c>
      <c r="H40" s="45">
        <v>774411</v>
      </c>
      <c r="I40" s="55">
        <v>1048129</v>
      </c>
      <c r="J40" s="187">
        <f>J36*J71</f>
        <v>1512409.5505177216</v>
      </c>
      <c r="K40" s="187">
        <f t="shared" ref="K40:N40" si="11">K36*K71</f>
        <v>2157217.5609994275</v>
      </c>
      <c r="L40" s="187">
        <f t="shared" si="11"/>
        <v>3036878.5040495303</v>
      </c>
      <c r="M40" s="187">
        <f t="shared" si="11"/>
        <v>4329886.3141977619</v>
      </c>
      <c r="N40" s="187">
        <f t="shared" si="11"/>
        <v>6148251.5034798877</v>
      </c>
    </row>
    <row r="41" spans="1:15" x14ac:dyDescent="0.25">
      <c r="B41" t="s">
        <v>139</v>
      </c>
      <c r="G41" s="45">
        <v>395643</v>
      </c>
      <c r="H41" s="45">
        <v>536184</v>
      </c>
      <c r="I41" s="55">
        <v>775660</v>
      </c>
      <c r="J41" s="187">
        <f>J36*J72</f>
        <v>1103885.1133714325</v>
      </c>
      <c r="K41" s="187">
        <f t="shared" ref="K41:N41" si="12">K36*K72</f>
        <v>1554871.5710262037</v>
      </c>
      <c r="L41" s="187">
        <f t="shared" si="12"/>
        <v>2217681.678868542</v>
      </c>
      <c r="M41" s="187">
        <f t="shared" si="12"/>
        <v>3147677.2909759432</v>
      </c>
      <c r="N41" s="187">
        <f t="shared" si="12"/>
        <v>4463609.2523324015</v>
      </c>
    </row>
    <row r="42" spans="1:15" x14ac:dyDescent="0.25">
      <c r="B42" t="s">
        <v>65</v>
      </c>
      <c r="G42" s="45">
        <v>225566</v>
      </c>
      <c r="H42" s="45">
        <v>341294</v>
      </c>
      <c r="I42" s="55">
        <v>478734</v>
      </c>
      <c r="J42" s="187">
        <f>J36*J73</f>
        <v>670398.65990107134</v>
      </c>
      <c r="K42" s="187">
        <f t="shared" ref="K42:N42" si="13">K36*K73</f>
        <v>964126.31054446136</v>
      </c>
      <c r="L42" s="187">
        <f t="shared" si="13"/>
        <v>1363571.0848071612</v>
      </c>
      <c r="M42" s="187">
        <f t="shared" si="13"/>
        <v>1932884.0252318915</v>
      </c>
      <c r="N42" s="187">
        <f t="shared" si="13"/>
        <v>2751017.6908450015</v>
      </c>
    </row>
    <row r="43" spans="1:15" x14ac:dyDescent="0.25">
      <c r="B43" t="s">
        <v>140</v>
      </c>
      <c r="G43" s="45">
        <v>134516</v>
      </c>
      <c r="H43" s="45">
        <v>236946</v>
      </c>
      <c r="I43" s="55">
        <v>420472</v>
      </c>
      <c r="J43" s="187">
        <f>J36*J74</f>
        <v>487235.92221049429</v>
      </c>
      <c r="K43" s="187">
        <f t="shared" ref="K43:N43" si="14">K36*K74</f>
        <v>740391.75253428961</v>
      </c>
      <c r="L43" s="187">
        <f t="shared" si="14"/>
        <v>1080039.3080367905</v>
      </c>
      <c r="M43" s="187">
        <f t="shared" si="14"/>
        <v>1473760.2986315694</v>
      </c>
      <c r="N43" s="187">
        <f t="shared" si="14"/>
        <v>2129827.5049397768</v>
      </c>
    </row>
    <row r="44" spans="1:15" x14ac:dyDescent="0.25">
      <c r="B44" s="43" t="s">
        <v>141</v>
      </c>
      <c r="C44" s="42"/>
      <c r="D44" s="42"/>
      <c r="E44" s="42"/>
      <c r="F44" s="42"/>
      <c r="G44" s="49">
        <f>SUM(G40:G43)</f>
        <v>1277825</v>
      </c>
      <c r="H44" s="49">
        <f t="shared" ref="H44:I44" si="15">SUM(H40:H43)</f>
        <v>1888835</v>
      </c>
      <c r="I44" s="58">
        <f t="shared" si="15"/>
        <v>2722995</v>
      </c>
      <c r="J44" s="189">
        <f t="shared" ref="J44" si="16">SUM(J40:J43)</f>
        <v>3773929.2460007193</v>
      </c>
      <c r="K44" s="189">
        <f t="shared" ref="K44" si="17">SUM(K40:K43)</f>
        <v>5416607.195104382</v>
      </c>
      <c r="L44" s="189">
        <f t="shared" ref="L44" si="18">SUM(L40:L43)</f>
        <v>7698170.5757620232</v>
      </c>
      <c r="M44" s="189">
        <f t="shared" ref="M44" si="19">SUM(M40:M43)</f>
        <v>10884207.929037167</v>
      </c>
      <c r="N44" s="189">
        <f t="shared" ref="N44" si="20">SUM(N40:N43)</f>
        <v>15492705.951597068</v>
      </c>
    </row>
    <row r="45" spans="1:15" x14ac:dyDescent="0.25">
      <c r="B45" s="10" t="s">
        <v>383</v>
      </c>
      <c r="C45" s="9"/>
      <c r="D45" s="9"/>
      <c r="E45" s="9"/>
      <c r="G45" s="50">
        <f>G38-G44</f>
        <v>47812</v>
      </c>
      <c r="H45" s="50">
        <f t="shared" ref="H45:I45" si="21">H38-H44</f>
        <v>36135</v>
      </c>
      <c r="I45" s="60">
        <f t="shared" si="21"/>
        <v>-150942</v>
      </c>
      <c r="J45" s="190">
        <f t="shared" ref="J45" si="22">J38-J44</f>
        <v>-4215.156677599065</v>
      </c>
      <c r="K45" s="190">
        <f t="shared" ref="K45" si="23">K38-K44</f>
        <v>-72454.375736867078</v>
      </c>
      <c r="L45" s="190">
        <f t="shared" ref="L45" si="24">L38-L44</f>
        <v>-183296.99740736466</v>
      </c>
      <c r="M45" s="190">
        <f t="shared" ref="M45" si="25">M38-M44</f>
        <v>-139825.19795962051</v>
      </c>
      <c r="N45" s="190">
        <f t="shared" ref="N45" si="26">N38-N44</f>
        <v>-258741.20891748555</v>
      </c>
    </row>
    <row r="46" spans="1:15" x14ac:dyDescent="0.25">
      <c r="B46" t="s">
        <v>142</v>
      </c>
      <c r="G46" s="46"/>
      <c r="H46" s="46"/>
      <c r="I46" s="59"/>
      <c r="J46" s="187"/>
      <c r="K46" s="187"/>
      <c r="L46" s="187"/>
      <c r="M46" s="187"/>
      <c r="N46" s="187"/>
    </row>
    <row r="47" spans="1:15" x14ac:dyDescent="0.25">
      <c r="B47" t="s">
        <v>143</v>
      </c>
      <c r="G47" s="45">
        <v>2895</v>
      </c>
      <c r="H47" s="45">
        <v>4971</v>
      </c>
      <c r="I47" s="55">
        <v>10571</v>
      </c>
      <c r="J47" s="187"/>
      <c r="K47" s="187"/>
      <c r="L47" s="187"/>
      <c r="M47" s="187"/>
      <c r="N47" s="187"/>
    </row>
    <row r="48" spans="1:15" x14ac:dyDescent="0.25">
      <c r="B48" t="s">
        <v>144</v>
      </c>
      <c r="G48" s="45">
        <v>0</v>
      </c>
      <c r="H48" s="45">
        <v>-6797</v>
      </c>
      <c r="I48" s="55">
        <v>-50882</v>
      </c>
      <c r="J48" s="187"/>
      <c r="K48" s="187"/>
      <c r="L48" s="187"/>
      <c r="M48" s="187"/>
      <c r="N48" s="187"/>
    </row>
    <row r="49" spans="2:14" x14ac:dyDescent="0.25">
      <c r="B49" t="s">
        <v>145</v>
      </c>
      <c r="G49" s="45">
        <v>-1479</v>
      </c>
      <c r="H49" s="45">
        <v>-3104</v>
      </c>
      <c r="I49" s="55">
        <v>-23477</v>
      </c>
      <c r="J49" s="187"/>
      <c r="K49" s="187"/>
      <c r="L49" s="187"/>
      <c r="M49" s="187"/>
      <c r="N49" s="187"/>
    </row>
    <row r="50" spans="2:14" x14ac:dyDescent="0.25">
      <c r="B50" t="s">
        <v>146</v>
      </c>
      <c r="G50" s="46">
        <f>SUM(G47:G49)</f>
        <v>1416</v>
      </c>
      <c r="H50" s="46">
        <f t="shared" ref="H50:I50" si="27">SUM(H47:H49)</f>
        <v>-4930</v>
      </c>
      <c r="I50" s="59">
        <f t="shared" si="27"/>
        <v>-63788</v>
      </c>
      <c r="J50" s="187">
        <f>J36*J76</f>
        <v>4037.4901173506319</v>
      </c>
      <c r="K50" s="187">
        <f t="shared" ref="K50:N50" si="28">K36*K76</f>
        <v>5728.8937013172008</v>
      </c>
      <c r="L50" s="187">
        <f t="shared" si="28"/>
        <v>8066.5556850933681</v>
      </c>
      <c r="M50" s="187">
        <f t="shared" si="28"/>
        <v>11519.53885552586</v>
      </c>
      <c r="N50" s="187">
        <f t="shared" si="28"/>
        <v>16338.676048268033</v>
      </c>
    </row>
    <row r="51" spans="2:14" s="7" customFormat="1" x14ac:dyDescent="0.25">
      <c r="G51" s="46"/>
      <c r="H51" s="46"/>
      <c r="I51" s="59"/>
      <c r="J51" s="187"/>
      <c r="K51" s="187"/>
      <c r="L51" s="187"/>
      <c r="M51" s="187"/>
      <c r="N51" s="187"/>
    </row>
    <row r="52" spans="2:14" x14ac:dyDescent="0.25">
      <c r="B52" t="s">
        <v>147</v>
      </c>
      <c r="G52" s="46">
        <f>G45+G50</f>
        <v>49228</v>
      </c>
      <c r="H52" s="46">
        <f t="shared" ref="H52:N52" si="29">H45+H50</f>
        <v>31205</v>
      </c>
      <c r="I52" s="59">
        <f t="shared" si="29"/>
        <v>-214730</v>
      </c>
      <c r="J52" s="187">
        <f t="shared" si="29"/>
        <v>-177.66656024843314</v>
      </c>
      <c r="K52" s="187">
        <f t="shared" si="29"/>
        <v>-66725.482035549881</v>
      </c>
      <c r="L52" s="187">
        <f t="shared" si="29"/>
        <v>-175230.44172227129</v>
      </c>
      <c r="M52" s="187">
        <f t="shared" si="29"/>
        <v>-128305.65910409465</v>
      </c>
      <c r="N52" s="187">
        <f t="shared" si="29"/>
        <v>-242402.53286921751</v>
      </c>
    </row>
    <row r="53" spans="2:14" x14ac:dyDescent="0.25">
      <c r="B53" t="s">
        <v>148</v>
      </c>
      <c r="G53" s="45">
        <v>22459</v>
      </c>
      <c r="H53" s="45">
        <v>46525</v>
      </c>
      <c r="I53" s="55">
        <v>-49969</v>
      </c>
      <c r="J53" s="187">
        <f>J52*J75</f>
        <v>-41.344108177962816</v>
      </c>
      <c r="K53" s="187">
        <f t="shared" ref="K53:N53" si="30">K52*K75</f>
        <v>-15527.432644876786</v>
      </c>
      <c r="L53" s="187">
        <f t="shared" si="30"/>
        <v>-40777.208319378638</v>
      </c>
      <c r="M53" s="187">
        <f t="shared" si="30"/>
        <v>-29857.520978775698</v>
      </c>
      <c r="N53" s="187">
        <f t="shared" si="30"/>
        <v>-56408.569668616081</v>
      </c>
    </row>
    <row r="54" spans="2:14" x14ac:dyDescent="0.25">
      <c r="B54" s="10" t="s">
        <v>384</v>
      </c>
      <c r="C54" s="9"/>
      <c r="D54" s="9"/>
      <c r="E54" s="9"/>
      <c r="F54" s="9"/>
      <c r="G54" s="50">
        <f>G52-G53</f>
        <v>26769</v>
      </c>
      <c r="H54" s="50">
        <f t="shared" ref="H54:I54" si="31">H52-H53</f>
        <v>-15320</v>
      </c>
      <c r="I54" s="60">
        <f t="shared" si="31"/>
        <v>-164761</v>
      </c>
      <c r="J54" s="190">
        <f t="shared" ref="J54" si="32">J52-J53</f>
        <v>-136.32245207047032</v>
      </c>
      <c r="K54" s="190">
        <f t="shared" ref="K54" si="33">K52-K53</f>
        <v>-51198.049390673099</v>
      </c>
      <c r="L54" s="190">
        <f t="shared" ref="L54" si="34">L52-L53</f>
        <v>-134453.23340289266</v>
      </c>
      <c r="M54" s="190">
        <f t="shared" ref="M54" si="35">M52-M53</f>
        <v>-98448.138125318947</v>
      </c>
      <c r="N54" s="190">
        <f t="shared" ref="N54" si="36">N52-N53</f>
        <v>-185993.96320060143</v>
      </c>
    </row>
    <row r="55" spans="2:14" s="7" customFormat="1" x14ac:dyDescent="0.25">
      <c r="B55" s="23"/>
      <c r="C55" s="13"/>
      <c r="D55" s="13"/>
      <c r="E55" s="13"/>
      <c r="G55" s="51"/>
      <c r="H55" s="51"/>
      <c r="I55" s="61"/>
      <c r="J55" s="191"/>
      <c r="K55" s="191"/>
      <c r="L55" s="191"/>
      <c r="M55" s="191"/>
      <c r="N55" s="191"/>
    </row>
    <row r="56" spans="2:14" x14ac:dyDescent="0.25">
      <c r="B56" t="s">
        <v>149</v>
      </c>
      <c r="G56" s="52">
        <v>0</v>
      </c>
      <c r="H56" s="52">
        <v>-427</v>
      </c>
      <c r="I56" s="62">
        <v>-1383</v>
      </c>
      <c r="J56" s="187">
        <v>0</v>
      </c>
      <c r="K56" s="187">
        <v>0</v>
      </c>
      <c r="L56" s="187">
        <v>0</v>
      </c>
      <c r="M56" s="187">
        <v>0</v>
      </c>
      <c r="N56" s="187">
        <v>0</v>
      </c>
    </row>
    <row r="57" spans="2:14" x14ac:dyDescent="0.25">
      <c r="B57" t="s">
        <v>150</v>
      </c>
      <c r="G57" s="44">
        <f>G54+G56</f>
        <v>26769</v>
      </c>
      <c r="H57" s="44">
        <f t="shared" ref="H57:I57" si="37">H54+H56</f>
        <v>-15747</v>
      </c>
      <c r="I57" s="61">
        <f t="shared" si="37"/>
        <v>-166144</v>
      </c>
      <c r="J57" s="192">
        <f t="shared" ref="J57" si="38">J54+J56</f>
        <v>-136.32245207047032</v>
      </c>
      <c r="K57" s="192">
        <f t="shared" ref="K57" si="39">K54+K56</f>
        <v>-51198.049390673099</v>
      </c>
      <c r="L57" s="192">
        <f t="shared" ref="L57" si="40">L54+L56</f>
        <v>-134453.23340289266</v>
      </c>
      <c r="M57" s="192">
        <f t="shared" ref="M57" si="41">M54+M56</f>
        <v>-98448.138125318947</v>
      </c>
      <c r="N57" s="192">
        <f t="shared" ref="N57" si="42">N54+N56</f>
        <v>-185993.96320060143</v>
      </c>
    </row>
    <row r="58" spans="2:14" x14ac:dyDescent="0.25">
      <c r="G58" s="44"/>
      <c r="H58" s="44"/>
      <c r="I58" s="61"/>
      <c r="J58" s="187"/>
      <c r="K58" s="187"/>
      <c r="L58" s="187"/>
      <c r="M58" s="187"/>
      <c r="N58" s="187"/>
    </row>
    <row r="59" spans="2:14" x14ac:dyDescent="0.25">
      <c r="B59" t="s">
        <v>151</v>
      </c>
      <c r="G59" s="52">
        <v>113643</v>
      </c>
      <c r="H59" s="52">
        <v>122800</v>
      </c>
      <c r="I59" s="62">
        <v>129024</v>
      </c>
      <c r="J59" s="193">
        <v>129024</v>
      </c>
      <c r="K59" s="193">
        <v>129024</v>
      </c>
      <c r="L59" s="193">
        <v>129024</v>
      </c>
      <c r="M59" s="193">
        <v>129024</v>
      </c>
      <c r="N59" s="193">
        <v>129024</v>
      </c>
    </row>
    <row r="60" spans="2:14" x14ac:dyDescent="0.25">
      <c r="B60" t="s">
        <v>152</v>
      </c>
      <c r="G60" s="52">
        <v>118944</v>
      </c>
      <c r="H60" s="52">
        <v>122800</v>
      </c>
      <c r="I60" s="62">
        <v>129024</v>
      </c>
      <c r="J60" s="193">
        <v>129024</v>
      </c>
      <c r="K60" s="193">
        <v>129024</v>
      </c>
      <c r="L60" s="193">
        <v>129024</v>
      </c>
      <c r="M60" s="193">
        <v>129024</v>
      </c>
      <c r="N60" s="193">
        <v>129024</v>
      </c>
    </row>
    <row r="61" spans="2:14" x14ac:dyDescent="0.25">
      <c r="I61" s="63"/>
      <c r="J61" s="159"/>
      <c r="K61" s="159"/>
      <c r="L61" s="159"/>
      <c r="M61" s="159"/>
      <c r="N61" s="159"/>
    </row>
    <row r="62" spans="2:14" x14ac:dyDescent="0.25">
      <c r="B62" t="s">
        <v>153</v>
      </c>
      <c r="G62" s="38">
        <f>G54/G59</f>
        <v>0.23555344367888914</v>
      </c>
      <c r="H62" s="38">
        <f t="shared" ref="H62:N62" si="43">H54/H59</f>
        <v>-0.1247557003257329</v>
      </c>
      <c r="I62" s="64">
        <f t="shared" si="43"/>
        <v>-1.2769794766865079</v>
      </c>
      <c r="J62" s="194">
        <f>J54/J59</f>
        <v>-1.0565666238100688E-3</v>
      </c>
      <c r="K62" s="194">
        <f t="shared" si="43"/>
        <v>-0.39681027863554919</v>
      </c>
      <c r="L62" s="194">
        <f t="shared" si="43"/>
        <v>-1.0420792519445425</v>
      </c>
      <c r="M62" s="194">
        <f t="shared" si="43"/>
        <v>-0.76302190387306967</v>
      </c>
      <c r="N62" s="194">
        <f t="shared" si="43"/>
        <v>-1.4415454737149789</v>
      </c>
    </row>
    <row r="63" spans="2:14" x14ac:dyDescent="0.25">
      <c r="B63" t="s">
        <v>154</v>
      </c>
      <c r="G63" s="38">
        <f>G54/G60</f>
        <v>0.22505548829701372</v>
      </c>
      <c r="H63" s="38">
        <f t="shared" ref="H63:N63" si="44">H54/H60</f>
        <v>-0.1247557003257329</v>
      </c>
      <c r="I63" s="64">
        <f t="shared" si="44"/>
        <v>-1.2769794766865079</v>
      </c>
      <c r="J63" s="194">
        <f t="shared" si="44"/>
        <v>-1.0565666238100688E-3</v>
      </c>
      <c r="K63" s="194">
        <f t="shared" si="44"/>
        <v>-0.39681027863554919</v>
      </c>
      <c r="L63" s="194">
        <f t="shared" si="44"/>
        <v>-1.0420792519445425</v>
      </c>
      <c r="M63" s="194">
        <f t="shared" si="44"/>
        <v>-0.76302190387306967</v>
      </c>
      <c r="N63" s="194">
        <f t="shared" si="44"/>
        <v>-1.4415454737149789</v>
      </c>
    </row>
    <row r="66" spans="1:16" x14ac:dyDescent="0.25">
      <c r="A66" s="7" t="s">
        <v>42</v>
      </c>
      <c r="B66" s="7"/>
      <c r="C66" s="7"/>
      <c r="D66" s="7"/>
      <c r="E66" s="7"/>
      <c r="G66" s="16"/>
      <c r="H66" s="17" t="s">
        <v>44</v>
      </c>
      <c r="I66" s="19"/>
      <c r="J66" s="16"/>
      <c r="K66" s="18"/>
      <c r="L66" s="17" t="s">
        <v>46</v>
      </c>
      <c r="M66" s="18"/>
      <c r="N66" s="19"/>
    </row>
    <row r="67" spans="1:16" x14ac:dyDescent="0.25">
      <c r="A67" s="3" t="s">
        <v>119</v>
      </c>
      <c r="B67" s="2"/>
      <c r="C67" s="2"/>
      <c r="D67" s="2"/>
      <c r="E67" s="2"/>
      <c r="F67" s="2"/>
      <c r="G67" s="96">
        <v>2013</v>
      </c>
      <c r="H67" s="96">
        <f>G67+1</f>
        <v>2014</v>
      </c>
      <c r="I67" s="177">
        <f t="shared" ref="I67:N67" si="45">H67+1</f>
        <v>2015</v>
      </c>
      <c r="J67" s="96">
        <f t="shared" si="45"/>
        <v>2016</v>
      </c>
      <c r="K67" s="96">
        <f t="shared" si="45"/>
        <v>2017</v>
      </c>
      <c r="L67" s="96">
        <f t="shared" si="45"/>
        <v>2018</v>
      </c>
      <c r="M67" s="96">
        <f t="shared" si="45"/>
        <v>2019</v>
      </c>
      <c r="N67" s="96">
        <f t="shared" si="45"/>
        <v>2020</v>
      </c>
    </row>
    <row r="68" spans="1:16" x14ac:dyDescent="0.25">
      <c r="I68" s="77"/>
      <c r="J68" s="167"/>
      <c r="K68" s="167"/>
      <c r="L68" s="167"/>
      <c r="M68" s="167"/>
      <c r="N68" s="167"/>
    </row>
    <row r="69" spans="1:16" x14ac:dyDescent="0.25">
      <c r="B69" t="s">
        <v>120</v>
      </c>
      <c r="G69" s="36">
        <f>G36/F36-1</f>
        <v>0.57207739514907296</v>
      </c>
      <c r="H69" s="36">
        <f t="shared" ref="H69:I69" si="46">H36/G36-1</f>
        <v>0.45155491006152904</v>
      </c>
      <c r="I69" s="147">
        <f t="shared" si="46"/>
        <v>0.34800589696890216</v>
      </c>
      <c r="J69" s="165">
        <f t="shared" ref="J69:J74" si="47">AVERAGE(G69:I69)</f>
        <v>0.4572127340598347</v>
      </c>
      <c r="K69" s="165">
        <f t="shared" ref="K69:N69" si="48">AVERAGE(H69:J69)</f>
        <v>0.41892451369675526</v>
      </c>
      <c r="L69" s="165">
        <f t="shared" si="48"/>
        <v>0.40804771490849734</v>
      </c>
      <c r="M69" s="165">
        <f t="shared" si="48"/>
        <v>0.42806165422169579</v>
      </c>
      <c r="N69" s="165">
        <f t="shared" si="48"/>
        <v>0.41834462760898278</v>
      </c>
      <c r="P69" s="36"/>
    </row>
    <row r="70" spans="1:16" x14ac:dyDescent="0.25">
      <c r="B70" t="s">
        <v>121</v>
      </c>
      <c r="G70" s="36">
        <f>G37/G36</f>
        <v>0.13274584654033739</v>
      </c>
      <c r="H70" s="36">
        <f t="shared" ref="H70:I70" si="49">H37/H36</f>
        <v>0.13241453473933945</v>
      </c>
      <c r="I70" s="147">
        <f t="shared" si="49"/>
        <v>0.140043618817143</v>
      </c>
      <c r="J70" s="165">
        <f t="shared" si="47"/>
        <v>0.13506800003227329</v>
      </c>
      <c r="K70" s="165">
        <f t="shared" ref="K70:N70" si="50">AVERAGE(H70:J70)</f>
        <v>0.13584205119625192</v>
      </c>
      <c r="L70" s="165">
        <f t="shared" si="50"/>
        <v>0.13698455668188939</v>
      </c>
      <c r="M70" s="165">
        <f t="shared" si="50"/>
        <v>0.13596486930347151</v>
      </c>
      <c r="N70" s="165">
        <f t="shared" si="50"/>
        <v>0.13626382572720427</v>
      </c>
    </row>
    <row r="71" spans="1:16" x14ac:dyDescent="0.25">
      <c r="B71" t="s">
        <v>123</v>
      </c>
      <c r="G71" s="36">
        <f>G40/G36</f>
        <v>0.34156665325521984</v>
      </c>
      <c r="H71" s="36">
        <f t="shared" ref="H71:I71" si="51">H40/H36</f>
        <v>0.3490276356192426</v>
      </c>
      <c r="I71" s="147">
        <f t="shared" si="51"/>
        <v>0.35043804379334592</v>
      </c>
      <c r="J71" s="165">
        <f t="shared" si="47"/>
        <v>0.34701077755593612</v>
      </c>
      <c r="K71" s="165">
        <f t="shared" ref="K71:N71" si="52">AVERAGE(H71:J71)</f>
        <v>0.34882548565617483</v>
      </c>
      <c r="L71" s="165">
        <f t="shared" si="52"/>
        <v>0.34875810233515225</v>
      </c>
      <c r="M71" s="165">
        <f t="shared" si="52"/>
        <v>0.34819812184908772</v>
      </c>
      <c r="N71" s="165">
        <f t="shared" si="52"/>
        <v>0.34859390328013823</v>
      </c>
    </row>
    <row r="72" spans="1:16" x14ac:dyDescent="0.25">
      <c r="B72" t="s">
        <v>156</v>
      </c>
      <c r="G72" s="36">
        <f>G41/G36</f>
        <v>0.25883634436670167</v>
      </c>
      <c r="H72" s="36">
        <f t="shared" ref="H72:I72" si="53">H41/H36</f>
        <v>0.24165854278524965</v>
      </c>
      <c r="I72" s="147">
        <f t="shared" si="53"/>
        <v>0.25933904419088366</v>
      </c>
      <c r="J72" s="165">
        <f t="shared" si="47"/>
        <v>0.25327797711427835</v>
      </c>
      <c r="K72" s="165">
        <f t="shared" ref="K72:N74" si="54">AVERAGE(H72:J72)</f>
        <v>0.25142518803013719</v>
      </c>
      <c r="L72" s="165">
        <f t="shared" si="54"/>
        <v>0.25468073644509975</v>
      </c>
      <c r="M72" s="165">
        <f t="shared" si="54"/>
        <v>0.25312796719650515</v>
      </c>
      <c r="N72" s="165">
        <f t="shared" si="54"/>
        <v>0.25307796389058068</v>
      </c>
    </row>
    <row r="73" spans="1:16" x14ac:dyDescent="0.25">
      <c r="B73" t="s">
        <v>124</v>
      </c>
      <c r="G73" s="36">
        <f>G42/G36</f>
        <v>0.14756909348432659</v>
      </c>
      <c r="H73" s="36">
        <f t="shared" ref="H73:I73" si="55">H42/H36</f>
        <v>0.15382146931155907</v>
      </c>
      <c r="I73" s="147">
        <f t="shared" si="55"/>
        <v>0.16006293734584545</v>
      </c>
      <c r="J73" s="165">
        <f t="shared" si="47"/>
        <v>0.15381783338057706</v>
      </c>
      <c r="K73" s="165">
        <f t="shared" si="54"/>
        <v>0.15590074667932718</v>
      </c>
      <c r="L73" s="165">
        <f t="shared" si="54"/>
        <v>0.15659383913524991</v>
      </c>
      <c r="M73" s="165">
        <f t="shared" si="54"/>
        <v>0.1554374730650514</v>
      </c>
      <c r="N73" s="165">
        <f t="shared" si="54"/>
        <v>0.15597735295987616</v>
      </c>
    </row>
    <row r="74" spans="1:16" x14ac:dyDescent="0.25">
      <c r="B74" t="s">
        <v>127</v>
      </c>
      <c r="G74" s="36">
        <f>G84/G36</f>
        <v>8.8002643036351566E-2</v>
      </c>
      <c r="H74" s="36">
        <f t="shared" ref="H74:I74" si="56">H84/H36</f>
        <v>0.10679174514493861</v>
      </c>
      <c r="I74" s="147">
        <f t="shared" si="56"/>
        <v>0.14058325373105385</v>
      </c>
      <c r="J74" s="165">
        <f t="shared" si="47"/>
        <v>0.11179254730411468</v>
      </c>
      <c r="K74" s="165">
        <f t="shared" si="54"/>
        <v>0.11972251539336905</v>
      </c>
      <c r="L74" s="165">
        <f t="shared" si="54"/>
        <v>0.12403277214284586</v>
      </c>
      <c r="M74" s="165">
        <f t="shared" si="54"/>
        <v>0.11851594494677653</v>
      </c>
      <c r="N74" s="165">
        <f t="shared" si="54"/>
        <v>0.12075707749433047</v>
      </c>
    </row>
    <row r="75" spans="1:16" x14ac:dyDescent="0.25">
      <c r="B75" t="s">
        <v>125</v>
      </c>
      <c r="G75" s="36">
        <f>G53/G52</f>
        <v>0.45622410010563091</v>
      </c>
      <c r="H75" s="36">
        <f t="shared" ref="H75:I75" si="57">H53/H52</f>
        <v>1.4909469636276238</v>
      </c>
      <c r="I75" s="147">
        <f t="shared" si="57"/>
        <v>0.23270618916779212</v>
      </c>
      <c r="J75" s="165">
        <v>0.23270618916779212</v>
      </c>
      <c r="K75" s="165">
        <v>0.23270618916779212</v>
      </c>
      <c r="L75" s="165">
        <v>0.23270618916779212</v>
      </c>
      <c r="M75" s="165">
        <v>0.23270618916779212</v>
      </c>
      <c r="N75" s="165">
        <v>0.23270618916779212</v>
      </c>
    </row>
    <row r="76" spans="1:16" x14ac:dyDescent="0.25">
      <c r="B76" t="s">
        <v>126</v>
      </c>
      <c r="G76" s="36">
        <f>G50/G36</f>
        <v>9.263711568844882E-4</v>
      </c>
      <c r="H76" s="36">
        <f t="shared" ref="H76:I76" si="58">H50/H36</f>
        <v>-2.2219548064307789E-3</v>
      </c>
      <c r="I76" s="147">
        <f t="shared" si="58"/>
        <v>-2.1327281219668523E-2</v>
      </c>
      <c r="J76" s="165">
        <v>9.263711568844882E-4</v>
      </c>
      <c r="K76" s="165">
        <v>9.263711568844882E-4</v>
      </c>
      <c r="L76" s="165">
        <v>9.263711568844882E-4</v>
      </c>
      <c r="M76" s="165">
        <v>9.263711568844882E-4</v>
      </c>
      <c r="N76" s="165">
        <v>9.263711568844882E-4</v>
      </c>
    </row>
    <row r="80" spans="1:16" x14ac:dyDescent="0.25">
      <c r="A80" s="7" t="s">
        <v>42</v>
      </c>
      <c r="B80" s="7"/>
      <c r="C80" s="7"/>
      <c r="D80" s="7"/>
      <c r="E80" s="7"/>
      <c r="F80" s="7"/>
      <c r="G80" s="16"/>
      <c r="H80" s="17" t="s">
        <v>44</v>
      </c>
      <c r="I80" s="19"/>
      <c r="J80" s="16"/>
      <c r="K80" s="18"/>
      <c r="L80" s="17" t="s">
        <v>46</v>
      </c>
      <c r="M80" s="18"/>
      <c r="N80" s="19"/>
    </row>
    <row r="81" spans="1:14" x14ac:dyDescent="0.25">
      <c r="A81" s="3" t="s">
        <v>158</v>
      </c>
      <c r="B81" s="2"/>
      <c r="C81" s="2"/>
      <c r="D81" s="2"/>
      <c r="E81" s="2"/>
      <c r="F81" s="2"/>
      <c r="G81" s="96">
        <v>2013</v>
      </c>
      <c r="H81" s="96">
        <f>G81+1</f>
        <v>2014</v>
      </c>
      <c r="I81" s="177">
        <f t="shared" ref="I81" si="59">H81+1</f>
        <v>2015</v>
      </c>
      <c r="J81" s="96">
        <f t="shared" ref="J81" si="60">I81+1</f>
        <v>2016</v>
      </c>
      <c r="K81" s="96">
        <f t="shared" ref="K81" si="61">J81+1</f>
        <v>2017</v>
      </c>
      <c r="L81" s="96">
        <f t="shared" ref="L81" si="62">K81+1</f>
        <v>2018</v>
      </c>
      <c r="M81" s="96">
        <f t="shared" ref="M81" si="63">L81+1</f>
        <v>2019</v>
      </c>
      <c r="N81" s="96">
        <f t="shared" ref="N81" si="64">M81+1</f>
        <v>2020</v>
      </c>
    </row>
    <row r="82" spans="1:14" x14ac:dyDescent="0.25">
      <c r="I82" s="77"/>
      <c r="J82" s="167"/>
      <c r="K82" s="167"/>
      <c r="L82" s="167"/>
      <c r="M82" s="167"/>
      <c r="N82" s="167"/>
    </row>
    <row r="83" spans="1:14" x14ac:dyDescent="0.25">
      <c r="B83" t="s">
        <v>130</v>
      </c>
      <c r="G83" s="44">
        <f>G45</f>
        <v>47812</v>
      </c>
      <c r="H83" s="44">
        <f t="shared" ref="H83:I83" si="65">H45</f>
        <v>36135</v>
      </c>
      <c r="I83" s="152">
        <f t="shared" si="65"/>
        <v>-150942</v>
      </c>
      <c r="J83" s="192">
        <f>J45</f>
        <v>-4215.156677599065</v>
      </c>
      <c r="K83" s="192">
        <f t="shared" ref="K83:N83" si="66">K45</f>
        <v>-72454.375736867078</v>
      </c>
      <c r="L83" s="192">
        <f t="shared" si="66"/>
        <v>-183296.99740736466</v>
      </c>
      <c r="M83" s="192">
        <f t="shared" si="66"/>
        <v>-139825.19795962051</v>
      </c>
      <c r="N83" s="192">
        <f t="shared" si="66"/>
        <v>-258741.20891748555</v>
      </c>
    </row>
    <row r="84" spans="1:14" x14ac:dyDescent="0.25">
      <c r="B84" t="s">
        <v>159</v>
      </c>
      <c r="G84" s="44">
        <v>134516</v>
      </c>
      <c r="H84" s="44">
        <v>236946</v>
      </c>
      <c r="I84" s="152">
        <v>420472</v>
      </c>
      <c r="J84" s="192">
        <f>J74*J36</f>
        <v>487235.92221049429</v>
      </c>
      <c r="K84" s="192">
        <f t="shared" ref="K84:N84" si="67">K74*K36</f>
        <v>740391.75253428961</v>
      </c>
      <c r="L84" s="192">
        <f t="shared" si="67"/>
        <v>1080039.3080367905</v>
      </c>
      <c r="M84" s="192">
        <f t="shared" si="67"/>
        <v>1473760.2986315694</v>
      </c>
      <c r="N84" s="192">
        <f t="shared" si="67"/>
        <v>2129827.5049397768</v>
      </c>
    </row>
    <row r="85" spans="1:14" s="6" customFormat="1" x14ac:dyDescent="0.25">
      <c r="B85" s="6" t="s">
        <v>132</v>
      </c>
      <c r="G85" s="154">
        <f>G83+G84</f>
        <v>182328</v>
      </c>
      <c r="H85" s="154">
        <f t="shared" ref="H85:I85" si="68">H83+H84</f>
        <v>273081</v>
      </c>
      <c r="I85" s="155">
        <f t="shared" si="68"/>
        <v>269530</v>
      </c>
      <c r="J85" s="195">
        <f t="shared" ref="J85" si="69">J83+J84</f>
        <v>483020.76553289522</v>
      </c>
      <c r="K85" s="195">
        <f t="shared" ref="K85" si="70">K83+K84</f>
        <v>667937.37679742253</v>
      </c>
      <c r="L85" s="195">
        <f t="shared" ref="L85" si="71">L83+L84</f>
        <v>896742.3106294258</v>
      </c>
      <c r="M85" s="195">
        <f t="shared" ref="M85" si="72">M83+M84</f>
        <v>1333935.1006719489</v>
      </c>
      <c r="N85" s="195">
        <f t="shared" ref="N85" si="73">N83+N84</f>
        <v>1871086.2960222913</v>
      </c>
    </row>
    <row r="86" spans="1:14" x14ac:dyDescent="0.25">
      <c r="I86" s="77"/>
      <c r="J86" s="167"/>
      <c r="K86" s="167"/>
      <c r="L86" s="167"/>
      <c r="M86" s="167"/>
      <c r="N86" s="167"/>
    </row>
    <row r="87" spans="1:14" x14ac:dyDescent="0.25">
      <c r="B87" t="s">
        <v>62</v>
      </c>
      <c r="G87" s="36">
        <f>G38/G36</f>
        <v>0.86725415345966261</v>
      </c>
      <c r="H87" s="36">
        <f t="shared" ref="H87:N87" si="74">H38/H36</f>
        <v>0.86758546526066049</v>
      </c>
      <c r="I87" s="147">
        <f t="shared" si="74"/>
        <v>0.859956381182857</v>
      </c>
      <c r="J87" s="165">
        <f t="shared" si="74"/>
        <v>0.86493199996772674</v>
      </c>
      <c r="K87" s="165">
        <f t="shared" si="74"/>
        <v>0.86415794880374797</v>
      </c>
      <c r="L87" s="165">
        <f t="shared" si="74"/>
        <v>0.86301544331811064</v>
      </c>
      <c r="M87" s="165">
        <f t="shared" si="74"/>
        <v>0.86403513069652849</v>
      </c>
      <c r="N87" s="165">
        <f t="shared" si="74"/>
        <v>0.8637361742727957</v>
      </c>
    </row>
    <row r="88" spans="1:14" x14ac:dyDescent="0.25">
      <c r="B88" t="s">
        <v>135</v>
      </c>
      <c r="G88" s="36">
        <f>G83/G36</f>
        <v>3.1279419317062962E-2</v>
      </c>
      <c r="H88" s="36">
        <f t="shared" ref="H88:N88" si="75">H83/H36</f>
        <v>1.6286072399670629E-2</v>
      </c>
      <c r="I88" s="147">
        <f t="shared" si="75"/>
        <v>-5.0466897878271869E-2</v>
      </c>
      <c r="J88" s="165">
        <f t="shared" si="75"/>
        <v>-9.6713538717937942E-4</v>
      </c>
      <c r="K88" s="165">
        <f t="shared" si="75"/>
        <v>-1.1715986955260252E-2</v>
      </c>
      <c r="L88" s="165">
        <f t="shared" si="75"/>
        <v>-2.1050006740237118E-2</v>
      </c>
      <c r="M88" s="165">
        <f t="shared" si="75"/>
        <v>-1.1244376360892381E-2</v>
      </c>
      <c r="N88" s="165">
        <f t="shared" si="75"/>
        <v>-1.4670123352129888E-2</v>
      </c>
    </row>
    <row r="89" spans="1:14" x14ac:dyDescent="0.25">
      <c r="B89" t="s">
        <v>160</v>
      </c>
      <c r="G89" s="36">
        <f>G85/G36</f>
        <v>0.11928206235341453</v>
      </c>
      <c r="H89" s="36">
        <f t="shared" ref="H89:N89" si="76">H85/H36</f>
        <v>0.12307781754460924</v>
      </c>
      <c r="I89" s="147">
        <f t="shared" si="76"/>
        <v>9.0116355852781979E-2</v>
      </c>
      <c r="J89" s="165">
        <f t="shared" si="76"/>
        <v>0.1108254119169353</v>
      </c>
      <c r="K89" s="165">
        <f t="shared" si="76"/>
        <v>0.10800652843810879</v>
      </c>
      <c r="L89" s="165">
        <f t="shared" si="76"/>
        <v>0.10298276540260876</v>
      </c>
      <c r="M89" s="165">
        <f t="shared" si="76"/>
        <v>0.10727156858588414</v>
      </c>
      <c r="N89" s="165">
        <f t="shared" si="76"/>
        <v>0.1060869541422006</v>
      </c>
    </row>
    <row r="90" spans="1:14" x14ac:dyDescent="0.25">
      <c r="B90" t="s">
        <v>161</v>
      </c>
      <c r="G90" s="36">
        <f>G54/G36</f>
        <v>1.7512732696780272E-2</v>
      </c>
      <c r="H90" s="36">
        <f t="shared" ref="H90:N90" si="77">H54/H36</f>
        <v>-6.9047358285029481E-3</v>
      </c>
      <c r="I90" s="147">
        <f t="shared" si="77"/>
        <v>-5.508722927562873E-2</v>
      </c>
      <c r="J90" s="165">
        <f t="shared" si="77"/>
        <v>-3.1278141608608839E-5</v>
      </c>
      <c r="K90" s="165">
        <f t="shared" si="77"/>
        <v>-8.2788054233511356E-3</v>
      </c>
      <c r="L90" s="165">
        <f t="shared" si="77"/>
        <v>-1.5440741034549258E-2</v>
      </c>
      <c r="M90" s="165">
        <f t="shared" si="77"/>
        <v>-7.9169415331697673E-3</v>
      </c>
      <c r="N90" s="165">
        <f t="shared" si="77"/>
        <v>-1.0545495997023365E-2</v>
      </c>
    </row>
    <row r="91" spans="1:14" x14ac:dyDescent="0.25">
      <c r="I91" s="77" t="s">
        <v>42</v>
      </c>
      <c r="J91" s="167"/>
      <c r="K91" s="167"/>
      <c r="L91" s="167"/>
      <c r="M91" s="167"/>
      <c r="N91" s="167"/>
    </row>
    <row r="92" spans="1:14" x14ac:dyDescent="0.25">
      <c r="B92" t="s">
        <v>157</v>
      </c>
      <c r="G92" s="21">
        <v>0.23</v>
      </c>
      <c r="H92" s="21">
        <v>1.49</v>
      </c>
      <c r="I92" s="153">
        <v>0.46</v>
      </c>
      <c r="J92" s="196">
        <v>0.46</v>
      </c>
      <c r="K92" s="196">
        <v>0.46</v>
      </c>
      <c r="L92" s="196">
        <v>0.46</v>
      </c>
      <c r="M92" s="196">
        <v>0.46</v>
      </c>
      <c r="N92" s="196">
        <v>0.46</v>
      </c>
    </row>
    <row r="96" spans="1:14" x14ac:dyDescent="0.25">
      <c r="A96" s="3" t="s">
        <v>283</v>
      </c>
      <c r="B96" s="2"/>
      <c r="C96" s="2"/>
      <c r="D96" s="2"/>
      <c r="E96" s="2"/>
      <c r="F96" s="2"/>
      <c r="G96" s="16"/>
      <c r="H96" s="17" t="s">
        <v>44</v>
      </c>
      <c r="I96" s="53"/>
      <c r="J96" s="18"/>
      <c r="K96" s="18"/>
      <c r="L96" s="17" t="s">
        <v>46</v>
      </c>
      <c r="M96" s="18"/>
      <c r="N96" s="19"/>
    </row>
    <row r="97" spans="1:14" x14ac:dyDescent="0.25">
      <c r="A97" s="3" t="s">
        <v>162</v>
      </c>
      <c r="B97" s="2"/>
      <c r="C97" s="2"/>
      <c r="D97" s="2"/>
      <c r="E97" s="2"/>
      <c r="F97" s="2"/>
      <c r="G97" s="204">
        <v>2013</v>
      </c>
      <c r="H97" s="205">
        <f>G97+1</f>
        <v>2014</v>
      </c>
      <c r="I97" s="206">
        <f t="shared" ref="I97" si="78">H97+1</f>
        <v>2015</v>
      </c>
      <c r="J97" s="96">
        <f t="shared" ref="J97" si="79">I97+1</f>
        <v>2016</v>
      </c>
      <c r="K97" s="96">
        <f t="shared" ref="K97" si="80">J97+1</f>
        <v>2017</v>
      </c>
      <c r="L97" s="96">
        <f t="shared" ref="L97" si="81">K97+1</f>
        <v>2018</v>
      </c>
      <c r="M97" s="96">
        <f t="shared" ref="M97" si="82">L97+1</f>
        <v>2019</v>
      </c>
      <c r="N97" s="96">
        <f t="shared" ref="N97" si="83">M97+1</f>
        <v>2020</v>
      </c>
    </row>
    <row r="98" spans="1:14" x14ac:dyDescent="0.25">
      <c r="I98" s="63"/>
      <c r="J98" s="167"/>
      <c r="K98" s="167"/>
      <c r="L98" s="167"/>
      <c r="M98" s="167"/>
      <c r="N98" s="167"/>
    </row>
    <row r="99" spans="1:14" x14ac:dyDescent="0.25">
      <c r="B99" s="6" t="s">
        <v>79</v>
      </c>
      <c r="I99" s="63"/>
      <c r="J99" s="167"/>
      <c r="K99" s="167"/>
      <c r="L99" s="167"/>
      <c r="M99" s="167"/>
      <c r="N99" s="167"/>
    </row>
    <row r="100" spans="1:14" x14ac:dyDescent="0.25">
      <c r="B100" t="s">
        <v>261</v>
      </c>
      <c r="I100" s="63"/>
      <c r="J100" s="167"/>
      <c r="K100" s="167"/>
      <c r="L100" s="167"/>
      <c r="M100" s="167"/>
      <c r="N100" s="167"/>
    </row>
    <row r="101" spans="1:14" x14ac:dyDescent="0.25">
      <c r="B101" t="s">
        <v>262</v>
      </c>
      <c r="G101" s="52">
        <v>803089</v>
      </c>
      <c r="H101" s="52">
        <v>460887</v>
      </c>
      <c r="I101" s="62">
        <v>546237</v>
      </c>
      <c r="J101" s="167"/>
      <c r="K101" s="167"/>
      <c r="L101" s="167"/>
      <c r="M101" s="167"/>
      <c r="N101" s="167"/>
    </row>
    <row r="102" spans="1:14" x14ac:dyDescent="0.25">
      <c r="B102" t="s">
        <v>263</v>
      </c>
      <c r="G102" s="52">
        <v>1526212</v>
      </c>
      <c r="H102" s="52">
        <v>2982422</v>
      </c>
      <c r="I102" s="62">
        <v>2573145</v>
      </c>
      <c r="J102" s="167"/>
      <c r="K102" s="167"/>
      <c r="L102" s="167"/>
      <c r="M102" s="167"/>
      <c r="N102" s="167"/>
    </row>
    <row r="103" spans="1:14" x14ac:dyDescent="0.25">
      <c r="B103" t="s">
        <v>264</v>
      </c>
      <c r="G103" s="52">
        <v>302168</v>
      </c>
      <c r="H103" s="52">
        <v>449048</v>
      </c>
      <c r="I103" s="62">
        <v>603060</v>
      </c>
      <c r="J103" s="167"/>
      <c r="K103" s="167"/>
      <c r="L103" s="167"/>
      <c r="M103" s="167"/>
      <c r="N103" s="167"/>
    </row>
    <row r="104" spans="1:14" x14ac:dyDescent="0.25">
      <c r="B104" t="s">
        <v>265</v>
      </c>
      <c r="G104" s="52">
        <v>47496</v>
      </c>
      <c r="H104" s="52">
        <v>66561</v>
      </c>
      <c r="I104" s="62">
        <v>87706</v>
      </c>
      <c r="J104" s="167"/>
      <c r="K104" s="167"/>
      <c r="L104" s="167"/>
      <c r="M104" s="167"/>
      <c r="N104" s="167"/>
    </row>
    <row r="105" spans="1:14" x14ac:dyDescent="0.25">
      <c r="B105" t="s">
        <v>266</v>
      </c>
      <c r="G105" s="52">
        <v>32114</v>
      </c>
      <c r="H105" s="52">
        <v>52978</v>
      </c>
      <c r="I105" s="62">
        <v>62992</v>
      </c>
      <c r="J105" s="167"/>
      <c r="K105" s="167"/>
      <c r="L105" s="167"/>
      <c r="M105" s="167"/>
      <c r="N105" s="167"/>
    </row>
    <row r="106" spans="1:14" x14ac:dyDescent="0.25">
      <c r="B106" t="s">
        <v>267</v>
      </c>
      <c r="G106" s="52">
        <v>44391</v>
      </c>
      <c r="H106" s="52">
        <v>110204</v>
      </c>
      <c r="I106" s="62">
        <v>61949</v>
      </c>
      <c r="J106" s="167"/>
      <c r="K106" s="167"/>
      <c r="L106" s="167"/>
      <c r="M106" s="167"/>
      <c r="N106" s="167"/>
    </row>
    <row r="107" spans="1:14" x14ac:dyDescent="0.25">
      <c r="B107" s="10" t="s">
        <v>87</v>
      </c>
      <c r="C107" s="10"/>
      <c r="D107" s="10"/>
      <c r="E107" s="10"/>
      <c r="F107" s="10"/>
      <c r="G107" s="67">
        <f>SUM(G101:G106)</f>
        <v>2755470</v>
      </c>
      <c r="H107" s="67">
        <f t="shared" ref="H107:I107" si="84">SUM(H101:H106)</f>
        <v>4122100</v>
      </c>
      <c r="I107" s="100">
        <f t="shared" si="84"/>
        <v>3935089</v>
      </c>
      <c r="J107" s="167"/>
      <c r="K107" s="167"/>
      <c r="L107" s="167"/>
      <c r="M107" s="167"/>
      <c r="N107" s="167"/>
    </row>
    <row r="108" spans="1:14" x14ac:dyDescent="0.25">
      <c r="G108" s="44"/>
      <c r="H108" s="44"/>
      <c r="I108" s="61"/>
      <c r="J108" s="167"/>
      <c r="K108" s="167"/>
      <c r="L108" s="167"/>
      <c r="M108" s="167"/>
      <c r="N108" s="167"/>
    </row>
    <row r="109" spans="1:14" x14ac:dyDescent="0.25">
      <c r="B109" t="s">
        <v>268</v>
      </c>
      <c r="G109" s="52">
        <v>361741</v>
      </c>
      <c r="H109" s="52">
        <v>740909</v>
      </c>
      <c r="I109" s="62">
        <v>1047005</v>
      </c>
      <c r="J109" s="167"/>
      <c r="K109" s="167"/>
      <c r="L109" s="167"/>
      <c r="M109" s="167"/>
      <c r="N109" s="167"/>
    </row>
    <row r="110" spans="1:14" x14ac:dyDescent="0.25">
      <c r="B110" t="s">
        <v>90</v>
      </c>
      <c r="G110" s="52">
        <v>150871</v>
      </c>
      <c r="H110" s="52">
        <v>356718</v>
      </c>
      <c r="I110" s="62">
        <v>1507093</v>
      </c>
      <c r="J110" s="167"/>
      <c r="K110" s="167"/>
      <c r="L110" s="167"/>
      <c r="M110" s="167"/>
      <c r="N110" s="167"/>
    </row>
    <row r="111" spans="1:14" x14ac:dyDescent="0.25">
      <c r="B111" t="s">
        <v>269</v>
      </c>
      <c r="G111" s="52">
        <v>43046</v>
      </c>
      <c r="H111" s="52">
        <v>131275</v>
      </c>
      <c r="I111" s="62">
        <v>373087</v>
      </c>
      <c r="J111" s="167"/>
      <c r="K111" s="167"/>
      <c r="L111" s="167"/>
      <c r="M111" s="167"/>
      <c r="N111" s="167"/>
    </row>
    <row r="112" spans="1:14" x14ac:dyDescent="0.25">
      <c r="B112" t="s">
        <v>270</v>
      </c>
      <c r="G112" s="52">
        <v>41665</v>
      </c>
      <c r="H112" s="52">
        <v>76255</v>
      </c>
      <c r="I112" s="62">
        <v>148925</v>
      </c>
      <c r="J112" s="167"/>
      <c r="K112" s="167"/>
      <c r="L112" s="167"/>
      <c r="M112" s="167"/>
      <c r="N112" s="167"/>
    </row>
    <row r="113" spans="1:14" x14ac:dyDescent="0.25">
      <c r="B113" s="10" t="s">
        <v>271</v>
      </c>
      <c r="C113" s="10"/>
      <c r="D113" s="10"/>
      <c r="E113" s="10"/>
      <c r="F113" s="10"/>
      <c r="G113" s="67">
        <f>SUM(G107:G112)</f>
        <v>3352793</v>
      </c>
      <c r="H113" s="67">
        <f t="shared" ref="H113:I113" si="85">SUM(H107:H112)</f>
        <v>5427257</v>
      </c>
      <c r="I113" s="100">
        <f t="shared" si="85"/>
        <v>7011199</v>
      </c>
      <c r="J113" s="167"/>
      <c r="K113" s="167"/>
      <c r="L113" s="167"/>
      <c r="M113" s="167"/>
      <c r="N113" s="167"/>
    </row>
    <row r="114" spans="1:14" x14ac:dyDescent="0.25">
      <c r="G114" s="44"/>
      <c r="H114" s="44"/>
      <c r="I114" s="61"/>
      <c r="J114" s="167"/>
      <c r="K114" s="167"/>
      <c r="L114" s="167"/>
      <c r="M114" s="167"/>
      <c r="N114" s="167"/>
    </row>
    <row r="115" spans="1:14" x14ac:dyDescent="0.25">
      <c r="B115" s="6" t="s">
        <v>272</v>
      </c>
      <c r="G115" s="44"/>
      <c r="H115" s="44"/>
      <c r="I115" s="61"/>
      <c r="J115" s="167"/>
      <c r="K115" s="167"/>
      <c r="L115" s="167"/>
      <c r="M115" s="167"/>
      <c r="N115" s="167"/>
    </row>
    <row r="116" spans="1:14" x14ac:dyDescent="0.25">
      <c r="B116" t="s">
        <v>273</v>
      </c>
      <c r="G116" s="44"/>
      <c r="H116" s="44"/>
      <c r="I116" s="61"/>
      <c r="J116" s="167"/>
      <c r="K116" s="167"/>
      <c r="L116" s="167"/>
      <c r="M116" s="167"/>
      <c r="N116" s="167"/>
    </row>
    <row r="117" spans="1:14" x14ac:dyDescent="0.25">
      <c r="B117" t="s">
        <v>274</v>
      </c>
      <c r="G117" s="52">
        <v>66744</v>
      </c>
      <c r="H117" s="52">
        <v>100297</v>
      </c>
      <c r="I117" s="62">
        <v>162176</v>
      </c>
      <c r="J117" s="167"/>
      <c r="K117" s="167"/>
      <c r="L117" s="167"/>
      <c r="M117" s="167"/>
      <c r="N117" s="167"/>
    </row>
    <row r="118" spans="1:14" x14ac:dyDescent="0.25">
      <c r="B118" t="s">
        <v>275</v>
      </c>
      <c r="G118" s="52">
        <v>183004</v>
      </c>
      <c r="H118" s="52">
        <v>260189</v>
      </c>
      <c r="I118" s="62">
        <v>316792</v>
      </c>
      <c r="J118" s="167"/>
      <c r="K118" s="167"/>
      <c r="L118" s="167"/>
      <c r="M118" s="167"/>
      <c r="N118" s="167"/>
    </row>
    <row r="119" spans="1:14" x14ac:dyDescent="0.25">
      <c r="A119" s="13"/>
      <c r="B119" t="s">
        <v>276</v>
      </c>
      <c r="G119" s="52">
        <v>392243</v>
      </c>
      <c r="H119" s="52">
        <v>522299</v>
      </c>
      <c r="I119" s="62">
        <v>709116</v>
      </c>
      <c r="J119" s="167"/>
      <c r="K119" s="167"/>
      <c r="L119" s="167"/>
      <c r="M119" s="167"/>
      <c r="N119" s="167"/>
    </row>
    <row r="120" spans="1:14" x14ac:dyDescent="0.25">
      <c r="A120" s="13"/>
      <c r="B120" s="10" t="s">
        <v>104</v>
      </c>
      <c r="C120" s="10"/>
      <c r="D120" s="10"/>
      <c r="E120" s="10"/>
      <c r="F120" s="10"/>
      <c r="G120" s="67">
        <f>SUM(G117:G119)</f>
        <v>641991</v>
      </c>
      <c r="H120" s="67">
        <f t="shared" ref="H120:I120" si="86">SUM(H117:H119)</f>
        <v>882785</v>
      </c>
      <c r="I120" s="100">
        <f t="shared" si="86"/>
        <v>1188084</v>
      </c>
      <c r="J120" s="167"/>
      <c r="K120" s="167"/>
      <c r="L120" s="167"/>
      <c r="M120" s="167"/>
      <c r="N120" s="167"/>
    </row>
    <row r="121" spans="1:14" s="7" customFormat="1" x14ac:dyDescent="0.25">
      <c r="B121" s="6"/>
      <c r="G121" s="44"/>
      <c r="H121" s="44"/>
      <c r="I121" s="61"/>
      <c r="J121" s="167"/>
      <c r="K121" s="167"/>
      <c r="L121" s="167"/>
      <c r="M121" s="167"/>
      <c r="N121" s="167"/>
    </row>
    <row r="122" spans="1:14" x14ac:dyDescent="0.25">
      <c r="B122" t="s">
        <v>277</v>
      </c>
      <c r="G122" s="44" t="s">
        <v>282</v>
      </c>
      <c r="H122" s="52">
        <v>1081553</v>
      </c>
      <c r="I122" s="62">
        <v>1126534</v>
      </c>
      <c r="J122" s="167"/>
      <c r="K122" s="167"/>
      <c r="L122" s="167"/>
      <c r="M122" s="167"/>
      <c r="N122" s="167"/>
    </row>
    <row r="123" spans="1:14" x14ac:dyDescent="0.25">
      <c r="B123" t="s">
        <v>278</v>
      </c>
      <c r="G123" s="52">
        <v>14879</v>
      </c>
      <c r="H123" s="44" t="s">
        <v>282</v>
      </c>
      <c r="I123" s="61" t="s">
        <v>282</v>
      </c>
      <c r="J123" s="167"/>
      <c r="K123" s="167"/>
      <c r="L123" s="167"/>
      <c r="M123" s="167"/>
      <c r="N123" s="167"/>
    </row>
    <row r="124" spans="1:14" x14ac:dyDescent="0.25">
      <c r="B124" t="s">
        <v>108</v>
      </c>
      <c r="G124" s="52">
        <v>61529</v>
      </c>
      <c r="H124" s="52">
        <v>132100</v>
      </c>
      <c r="I124" s="62">
        <v>201128</v>
      </c>
      <c r="J124" s="167"/>
      <c r="K124" s="167"/>
      <c r="L124" s="167"/>
      <c r="M124" s="167"/>
      <c r="N124" s="167"/>
    </row>
    <row r="125" spans="1:14" x14ac:dyDescent="0.25">
      <c r="B125" s="10" t="s">
        <v>109</v>
      </c>
      <c r="C125" s="10"/>
      <c r="D125" s="10"/>
      <c r="E125" s="10"/>
      <c r="F125" s="10"/>
      <c r="G125" s="67">
        <f>SUM(G120:G124)</f>
        <v>718399</v>
      </c>
      <c r="H125" s="67">
        <f t="shared" ref="H125:I125" si="87">SUM(H120:H124)</f>
        <v>2096438</v>
      </c>
      <c r="I125" s="100">
        <f t="shared" si="87"/>
        <v>2515746</v>
      </c>
      <c r="J125" s="167"/>
      <c r="K125" s="167"/>
      <c r="L125" s="167"/>
      <c r="M125" s="167"/>
      <c r="N125" s="167"/>
    </row>
    <row r="126" spans="1:14" x14ac:dyDescent="0.25">
      <c r="G126" s="44"/>
      <c r="H126" s="44"/>
      <c r="I126" s="61"/>
      <c r="J126" s="167"/>
      <c r="K126" s="167"/>
      <c r="L126" s="167"/>
      <c r="M126" s="167"/>
      <c r="N126" s="167"/>
    </row>
    <row r="127" spans="1:14" x14ac:dyDescent="0.25">
      <c r="B127" t="s">
        <v>279</v>
      </c>
      <c r="G127" s="52">
        <v>5000</v>
      </c>
      <c r="H127" s="52">
        <v>5427</v>
      </c>
      <c r="I127" s="62">
        <v>26810</v>
      </c>
      <c r="J127" s="167"/>
      <c r="K127" s="167"/>
      <c r="L127" s="167"/>
      <c r="M127" s="167"/>
      <c r="N127" s="167"/>
    </row>
    <row r="128" spans="1:14" x14ac:dyDescent="0.25">
      <c r="B128" s="6" t="s">
        <v>280</v>
      </c>
      <c r="G128" s="52">
        <v>2629394</v>
      </c>
      <c r="H128" s="52">
        <v>3325392</v>
      </c>
      <c r="I128" s="62">
        <v>4468643</v>
      </c>
      <c r="J128" s="167"/>
      <c r="K128" s="167"/>
      <c r="L128" s="167"/>
      <c r="M128" s="167"/>
      <c r="N128" s="167"/>
    </row>
    <row r="129" spans="2:14" x14ac:dyDescent="0.25">
      <c r="G129" s="44"/>
      <c r="H129" s="44"/>
      <c r="I129" s="61"/>
      <c r="J129" s="167"/>
      <c r="K129" s="167"/>
      <c r="L129" s="167"/>
      <c r="M129" s="167"/>
      <c r="N129" s="167"/>
    </row>
    <row r="130" spans="2:14" ht="15.75" thickBot="1" x14ac:dyDescent="0.3">
      <c r="B130" s="101" t="s">
        <v>281</v>
      </c>
      <c r="C130" s="101"/>
      <c r="D130" s="101"/>
      <c r="E130" s="101"/>
      <c r="F130" s="101"/>
      <c r="G130" s="102">
        <f>G128+G125</f>
        <v>3347793</v>
      </c>
      <c r="H130" s="102">
        <f t="shared" ref="H130:I130" si="88">H128+H125</f>
        <v>5421830</v>
      </c>
      <c r="I130" s="103">
        <f t="shared" si="88"/>
        <v>6984389</v>
      </c>
      <c r="J130" s="167"/>
      <c r="K130" s="167"/>
      <c r="L130" s="167"/>
      <c r="M130" s="167"/>
      <c r="N130" s="167"/>
    </row>
    <row r="131" spans="2:14" ht="15.75" thickTop="1" x14ac:dyDescent="0.25"/>
    <row r="135" spans="2:14" s="283" customFormat="1" x14ac:dyDescent="0.25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F2D1A-AB70-476B-932D-3DB02788CDB1}">
  <dimension ref="A2:T114"/>
  <sheetViews>
    <sheetView showGridLines="0" topLeftCell="A100" zoomScale="70" zoomScaleNormal="70" workbookViewId="0">
      <selection activeCell="A128" sqref="A128"/>
    </sheetView>
  </sheetViews>
  <sheetFormatPr defaultRowHeight="15" x14ac:dyDescent="0.25"/>
  <cols>
    <col min="6" max="6" width="14" bestFit="1" customWidth="1"/>
    <col min="7" max="7" width="12.42578125" bestFit="1" customWidth="1"/>
    <col min="8" max="8" width="11.5703125" bestFit="1" customWidth="1"/>
    <col min="9" max="9" width="15" bestFit="1" customWidth="1"/>
    <col min="10" max="11" width="14.5703125" bestFit="1" customWidth="1"/>
    <col min="12" max="12" width="20.7109375" bestFit="1" customWidth="1"/>
    <col min="13" max="14" width="15" bestFit="1" customWidth="1"/>
    <col min="15" max="16" width="18.7109375" bestFit="1" customWidth="1"/>
    <col min="17" max="17" width="11.42578125" customWidth="1"/>
    <col min="18" max="18" width="18.85546875" customWidth="1"/>
    <col min="20" max="20" width="11.5703125" bestFit="1" customWidth="1"/>
  </cols>
  <sheetData>
    <row r="2" spans="1:20" s="241" customFormat="1" x14ac:dyDescent="0.25"/>
    <row r="3" spans="1:20" s="241" customFormat="1" x14ac:dyDescent="0.25">
      <c r="A3" s="6" t="s">
        <v>359</v>
      </c>
    </row>
    <row r="4" spans="1:20" s="241" customFormat="1" x14ac:dyDescent="0.25">
      <c r="A4" s="6" t="s">
        <v>395</v>
      </c>
    </row>
    <row r="5" spans="1:20" s="241" customFormat="1" x14ac:dyDescent="0.25">
      <c r="A5" s="6" t="s">
        <v>361</v>
      </c>
    </row>
    <row r="6" spans="1:20" x14ac:dyDescent="0.25">
      <c r="A6" s="241" t="s">
        <v>382</v>
      </c>
    </row>
    <row r="8" spans="1:20" x14ac:dyDescent="0.25">
      <c r="A8" s="3" t="s">
        <v>24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10" spans="1:20" x14ac:dyDescent="0.25">
      <c r="B10" s="76" t="s">
        <v>165</v>
      </c>
      <c r="C10" s="7"/>
      <c r="D10" s="7"/>
      <c r="E10" s="241"/>
      <c r="F10" s="7"/>
      <c r="G10" s="4" t="s">
        <v>181</v>
      </c>
      <c r="H10" s="7"/>
      <c r="I10" s="7"/>
      <c r="J10" s="7"/>
      <c r="K10" s="7"/>
      <c r="L10" s="7"/>
    </row>
    <row r="11" spans="1:20" x14ac:dyDescent="0.25">
      <c r="B11" s="76" t="s">
        <v>166</v>
      </c>
      <c r="C11" s="7"/>
      <c r="D11" s="7"/>
      <c r="E11" s="241"/>
      <c r="F11" s="7"/>
      <c r="G11" s="4" t="s">
        <v>182</v>
      </c>
      <c r="H11" s="7"/>
      <c r="I11" s="7"/>
      <c r="J11" s="7"/>
      <c r="K11" s="7"/>
      <c r="L11" s="7"/>
    </row>
    <row r="12" spans="1:20" x14ac:dyDescent="0.25">
      <c r="B12" s="76"/>
      <c r="E12" s="241"/>
      <c r="I12" s="98" t="s">
        <v>187</v>
      </c>
      <c r="J12" s="99">
        <v>0</v>
      </c>
      <c r="L12" s="224" t="s">
        <v>190</v>
      </c>
      <c r="M12" s="225"/>
      <c r="N12" s="226" t="s">
        <v>50</v>
      </c>
      <c r="O12" s="226" t="s">
        <v>196</v>
      </c>
      <c r="P12" s="227" t="s">
        <v>197</v>
      </c>
      <c r="Q12" s="225" t="s">
        <v>198</v>
      </c>
      <c r="T12" s="13"/>
    </row>
    <row r="13" spans="1:20" x14ac:dyDescent="0.25">
      <c r="B13" s="76" t="s">
        <v>167</v>
      </c>
      <c r="E13" s="241"/>
      <c r="G13" t="s">
        <v>183</v>
      </c>
      <c r="I13" s="98" t="s">
        <v>188</v>
      </c>
      <c r="J13" s="99">
        <v>1</v>
      </c>
      <c r="L13" s="218" t="s">
        <v>191</v>
      </c>
      <c r="M13" s="219"/>
      <c r="N13" s="220">
        <f>J12*G27</f>
        <v>0</v>
      </c>
      <c r="O13" s="221">
        <f>766/AVERAGE('Microsoft  acquirer'!F88:G88)</f>
        <v>0.1074032529444756</v>
      </c>
      <c r="P13" s="222">
        <f>'Microsoft  acquirer'!$D$14</f>
        <v>0.34</v>
      </c>
      <c r="Q13" s="223">
        <f>O13*(1-P13)</f>
        <v>7.0886146943353892E-2</v>
      </c>
      <c r="T13" s="13"/>
    </row>
    <row r="14" spans="1:20" x14ac:dyDescent="0.25">
      <c r="B14" s="76" t="s">
        <v>168</v>
      </c>
      <c r="E14" s="241"/>
      <c r="G14" t="s">
        <v>184</v>
      </c>
      <c r="I14" s="98" t="s">
        <v>189</v>
      </c>
      <c r="J14" s="98">
        <v>0</v>
      </c>
      <c r="L14" s="104" t="s">
        <v>192</v>
      </c>
      <c r="M14" s="63"/>
      <c r="N14" s="208">
        <f>J13*G27</f>
        <v>25288.704000000002</v>
      </c>
      <c r="O14" s="209">
        <v>2.7E-2</v>
      </c>
      <c r="P14" s="215">
        <f>'Microsoft  acquirer'!$D$14</f>
        <v>0.34</v>
      </c>
      <c r="Q14" s="207">
        <f t="shared" ref="Q14" si="0">O14*(1-P14)</f>
        <v>1.7819999999999999E-2</v>
      </c>
      <c r="T14" s="13"/>
    </row>
    <row r="15" spans="1:20" x14ac:dyDescent="0.25">
      <c r="B15" s="76"/>
      <c r="E15" s="241"/>
      <c r="L15" s="104" t="s">
        <v>193</v>
      </c>
      <c r="M15" s="63"/>
      <c r="N15" s="210">
        <v>0</v>
      </c>
      <c r="O15" s="210"/>
      <c r="P15" s="215">
        <f>'Microsoft  acquirer'!$D$14</f>
        <v>0.34</v>
      </c>
      <c r="Q15" s="211">
        <f>'Microsoft  acquirer'!G50/'Microsoft  acquirer'!D13</f>
        <v>2.9461969775155371E-2</v>
      </c>
      <c r="T15" s="13"/>
    </row>
    <row r="16" spans="1:20" x14ac:dyDescent="0.25">
      <c r="B16" s="76" t="s">
        <v>169</v>
      </c>
      <c r="E16" s="241"/>
      <c r="G16" t="s">
        <v>185</v>
      </c>
      <c r="L16" s="104" t="s">
        <v>194</v>
      </c>
      <c r="M16" s="63"/>
      <c r="N16" s="210"/>
      <c r="O16" s="210"/>
      <c r="P16" s="216"/>
      <c r="Q16" s="212"/>
      <c r="T16" s="13"/>
    </row>
    <row r="17" spans="2:20" x14ac:dyDescent="0.25">
      <c r="B17" s="76" t="s">
        <v>170</v>
      </c>
      <c r="E17" s="241"/>
      <c r="G17" t="s">
        <v>186</v>
      </c>
      <c r="L17" s="105" t="s">
        <v>195</v>
      </c>
      <c r="M17" s="106"/>
      <c r="N17" s="213"/>
      <c r="O17" s="213"/>
      <c r="P17" s="217"/>
      <c r="Q17" s="214">
        <f>SUMPRODUCT(N13:N15,Q13:Q15)/SUM(N13:N15)</f>
        <v>1.7819999999999999E-2</v>
      </c>
      <c r="T17" s="13"/>
    </row>
    <row r="18" spans="2:20" x14ac:dyDescent="0.25">
      <c r="E18" s="241"/>
    </row>
    <row r="19" spans="2:20" x14ac:dyDescent="0.25">
      <c r="B19" t="s">
        <v>25</v>
      </c>
      <c r="E19" s="241"/>
      <c r="G19">
        <v>131</v>
      </c>
      <c r="L19" s="228" t="s">
        <v>164</v>
      </c>
      <c r="M19" s="228">
        <v>2017</v>
      </c>
      <c r="N19" s="228">
        <v>2018</v>
      </c>
      <c r="O19" s="228">
        <v>2019</v>
      </c>
      <c r="P19" s="228">
        <v>2020</v>
      </c>
    </row>
    <row r="20" spans="2:20" x14ac:dyDescent="0.25">
      <c r="B20" t="s">
        <v>171</v>
      </c>
      <c r="E20" s="241"/>
      <c r="F20" t="s">
        <v>42</v>
      </c>
      <c r="G20">
        <v>196</v>
      </c>
      <c r="L20" s="228" t="s">
        <v>199</v>
      </c>
      <c r="M20" s="231">
        <v>30</v>
      </c>
      <c r="N20" s="231">
        <v>30</v>
      </c>
      <c r="O20" s="231">
        <v>30</v>
      </c>
      <c r="P20" s="231">
        <v>30</v>
      </c>
    </row>
    <row r="21" spans="2:20" x14ac:dyDescent="0.25">
      <c r="B21" t="s">
        <v>26</v>
      </c>
      <c r="E21" s="241"/>
      <c r="G21">
        <f>G20-G19</f>
        <v>65</v>
      </c>
    </row>
    <row r="22" spans="2:20" x14ac:dyDescent="0.25">
      <c r="B22" t="s">
        <v>47</v>
      </c>
      <c r="E22" s="241"/>
      <c r="G22" s="36">
        <f>G21/G19</f>
        <v>0.49618320610687022</v>
      </c>
    </row>
    <row r="23" spans="2:20" x14ac:dyDescent="0.25">
      <c r="E23" s="241"/>
      <c r="I23" s="284" t="s">
        <v>200</v>
      </c>
      <c r="J23" s="230">
        <f>PMT(O14,G32,-N14,0,0)</f>
        <v>5474.6919586794374</v>
      </c>
      <c r="L23" s="228" t="s">
        <v>164</v>
      </c>
      <c r="M23" s="228" t="s">
        <v>200</v>
      </c>
      <c r="N23" s="228" t="s">
        <v>297</v>
      </c>
      <c r="O23" s="228" t="s">
        <v>298</v>
      </c>
      <c r="P23" s="228" t="s">
        <v>299</v>
      </c>
      <c r="R23" s="36"/>
    </row>
    <row r="24" spans="2:20" x14ac:dyDescent="0.25">
      <c r="B24" t="s">
        <v>172</v>
      </c>
      <c r="E24" s="241"/>
      <c r="L24" s="210">
        <v>2017</v>
      </c>
      <c r="M24" s="107">
        <f>$J$23</f>
        <v>5474.6919586794374</v>
      </c>
      <c r="N24" s="107">
        <f>O14*N14</f>
        <v>682.79500800000005</v>
      </c>
      <c r="O24" s="107">
        <f>M24-N24</f>
        <v>4791.8969506794374</v>
      </c>
      <c r="P24" s="108">
        <f>N14-O24</f>
        <v>20496.807049320563</v>
      </c>
    </row>
    <row r="25" spans="2:20" x14ac:dyDescent="0.25">
      <c r="B25" t="s">
        <v>173</v>
      </c>
      <c r="E25" s="241"/>
      <c r="G25" s="37">
        <f>'Linked in Target'!F17</f>
        <v>129.024</v>
      </c>
      <c r="J25" s="8"/>
      <c r="K25" s="52"/>
      <c r="L25" s="210">
        <f>L24+1</f>
        <v>2018</v>
      </c>
      <c r="M25" s="107">
        <f>$J$23</f>
        <v>5474.6919586794374</v>
      </c>
      <c r="N25" s="108">
        <f>P24*$O$14</f>
        <v>553.41379033165515</v>
      </c>
      <c r="O25" s="107">
        <f>M25-N25</f>
        <v>4921.2781683477824</v>
      </c>
      <c r="P25" s="108">
        <f>P24-O25</f>
        <v>15575.528880972781</v>
      </c>
    </row>
    <row r="26" spans="2:20" x14ac:dyDescent="0.25">
      <c r="E26" s="241"/>
      <c r="K26" s="24"/>
      <c r="L26" s="210">
        <f t="shared" ref="L26:L28" si="1">L25+1</f>
        <v>2019</v>
      </c>
      <c r="M26" s="107">
        <f>$J$23</f>
        <v>5474.6919586794374</v>
      </c>
      <c r="N26" s="108">
        <f>P25*$O$14</f>
        <v>420.53927978626507</v>
      </c>
      <c r="O26" s="107">
        <f t="shared" ref="O26:O28" si="2">M26-N26</f>
        <v>5054.1526788931724</v>
      </c>
      <c r="P26" s="108">
        <f t="shared" ref="P26:P28" si="3">P25-O26</f>
        <v>10521.376202079609</v>
      </c>
      <c r="Q26" s="13"/>
    </row>
    <row r="27" spans="2:20" x14ac:dyDescent="0.25">
      <c r="B27" t="s">
        <v>174</v>
      </c>
      <c r="E27" s="241"/>
      <c r="G27" s="31">
        <f>'Linked in Target'!F20</f>
        <v>25288.704000000002</v>
      </c>
      <c r="J27" s="52"/>
      <c r="L27" s="210">
        <f t="shared" si="1"/>
        <v>2020</v>
      </c>
      <c r="M27" s="107">
        <f>$J$23</f>
        <v>5474.6919586794374</v>
      </c>
      <c r="N27" s="108">
        <f>P26*$O$14</f>
        <v>284.07715745614945</v>
      </c>
      <c r="O27" s="107">
        <f t="shared" si="2"/>
        <v>5190.6148012232879</v>
      </c>
      <c r="P27" s="108">
        <f t="shared" si="3"/>
        <v>5330.7614008563214</v>
      </c>
      <c r="Q27" s="13"/>
    </row>
    <row r="28" spans="2:20" x14ac:dyDescent="0.25">
      <c r="B28" t="s">
        <v>175</v>
      </c>
      <c r="E28" s="241"/>
      <c r="G28" s="31">
        <f>'Linked in Target'!$F$28</f>
        <v>30970.112902619872</v>
      </c>
      <c r="J28" s="66"/>
      <c r="L28" s="213">
        <f t="shared" si="1"/>
        <v>2021</v>
      </c>
      <c r="M28" s="229">
        <f>$J$23</f>
        <v>5474.6919586794374</v>
      </c>
      <c r="N28" s="109">
        <f>P27*$O$14</f>
        <v>143.93055782312067</v>
      </c>
      <c r="O28" s="229">
        <f t="shared" si="2"/>
        <v>5330.7614008563169</v>
      </c>
      <c r="P28" s="109">
        <f t="shared" si="3"/>
        <v>0</v>
      </c>
      <c r="Q28" s="13"/>
    </row>
    <row r="29" spans="2:20" x14ac:dyDescent="0.25">
      <c r="E29" s="241"/>
      <c r="I29" s="22"/>
      <c r="Q29" s="13"/>
    </row>
    <row r="30" spans="2:20" x14ac:dyDescent="0.25">
      <c r="B30" t="s">
        <v>176</v>
      </c>
      <c r="E30" s="241"/>
      <c r="G30" s="21">
        <v>0.01</v>
      </c>
      <c r="K30" s="20"/>
      <c r="Q30" s="13"/>
    </row>
    <row r="31" spans="2:20" x14ac:dyDescent="0.25">
      <c r="B31" t="s">
        <v>177</v>
      </c>
      <c r="E31" s="241"/>
      <c r="G31" s="21">
        <v>0.03</v>
      </c>
      <c r="Q31" s="13"/>
    </row>
    <row r="32" spans="2:20" x14ac:dyDescent="0.25">
      <c r="B32" t="s">
        <v>178</v>
      </c>
      <c r="E32" s="241"/>
      <c r="G32">
        <v>5</v>
      </c>
    </row>
    <row r="33" spans="1:14" x14ac:dyDescent="0.25">
      <c r="E33" s="241"/>
    </row>
    <row r="34" spans="1:14" x14ac:dyDescent="0.25">
      <c r="B34" t="s">
        <v>179</v>
      </c>
      <c r="E34" s="241"/>
      <c r="G34">
        <v>1000</v>
      </c>
    </row>
    <row r="35" spans="1:14" x14ac:dyDescent="0.25">
      <c r="B35" t="s">
        <v>180</v>
      </c>
      <c r="E35" s="241"/>
      <c r="G35" s="22">
        <v>97072</v>
      </c>
      <c r="I35" s="22"/>
    </row>
    <row r="36" spans="1:14" x14ac:dyDescent="0.25">
      <c r="E36" s="241"/>
    </row>
    <row r="37" spans="1:14" s="26" customFormat="1" x14ac:dyDescent="0.25">
      <c r="A37" s="3" t="s">
        <v>201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4" s="26" customFormat="1" x14ac:dyDescent="0.25">
      <c r="A38"/>
      <c r="B38"/>
      <c r="C38"/>
      <c r="D38"/>
      <c r="E38"/>
      <c r="F38"/>
      <c r="G38"/>
      <c r="H38"/>
      <c r="I38"/>
      <c r="J38"/>
      <c r="K38"/>
      <c r="L38"/>
    </row>
    <row r="39" spans="1:14" s="26" customFormat="1" x14ac:dyDescent="0.25">
      <c r="A39"/>
      <c r="B39" s="68"/>
      <c r="C39" s="69" t="s">
        <v>259</v>
      </c>
      <c r="D39" s="68"/>
      <c r="E39" s="68"/>
      <c r="F39" s="266"/>
      <c r="G39" s="266"/>
      <c r="H39" s="266"/>
      <c r="I39" s="68"/>
      <c r="J39" s="69" t="s">
        <v>260</v>
      </c>
      <c r="K39" s="68"/>
      <c r="L39" s="68"/>
    </row>
    <row r="40" spans="1:14" s="26" customFormat="1" x14ac:dyDescent="0.25">
      <c r="A40"/>
      <c r="B40" t="s">
        <v>202</v>
      </c>
      <c r="C40"/>
      <c r="D40"/>
      <c r="E40" s="66">
        <f>N13</f>
        <v>0</v>
      </c>
      <c r="F40"/>
      <c r="G40"/>
      <c r="H40"/>
      <c r="I40" t="s">
        <v>207</v>
      </c>
      <c r="J40"/>
      <c r="K40" t="s">
        <v>75</v>
      </c>
      <c r="L40" s="22">
        <f>G27</f>
        <v>25288.704000000002</v>
      </c>
    </row>
    <row r="41" spans="1:14" s="26" customFormat="1" x14ac:dyDescent="0.25">
      <c r="A41"/>
      <c r="B41" t="s">
        <v>203</v>
      </c>
      <c r="C41"/>
      <c r="D41"/>
      <c r="E41" s="66">
        <f>N14</f>
        <v>25288.704000000002</v>
      </c>
      <c r="F41" t="s">
        <v>42</v>
      </c>
      <c r="G41"/>
      <c r="H41"/>
      <c r="I41" t="s">
        <v>176</v>
      </c>
      <c r="J41"/>
      <c r="K41"/>
      <c r="L41" s="22">
        <f>G30*L40</f>
        <v>252.88704000000001</v>
      </c>
    </row>
    <row r="42" spans="1:14" s="26" customFormat="1" x14ac:dyDescent="0.25">
      <c r="A42"/>
      <c r="B42" t="s">
        <v>204</v>
      </c>
      <c r="C42"/>
      <c r="D42"/>
      <c r="E42" s="66">
        <f>N15</f>
        <v>0</v>
      </c>
      <c r="F42"/>
      <c r="G42"/>
      <c r="H42"/>
      <c r="I42" t="s">
        <v>208</v>
      </c>
      <c r="J42"/>
      <c r="K42"/>
      <c r="L42" s="22">
        <f>G31*N14</f>
        <v>758.66111999999998</v>
      </c>
    </row>
    <row r="43" spans="1:14" s="26" customFormat="1" x14ac:dyDescent="0.25">
      <c r="A43"/>
      <c r="B43" t="s">
        <v>205</v>
      </c>
      <c r="C43"/>
      <c r="D43"/>
      <c r="E43" s="66">
        <f>E44-SUM(E40:E42)</f>
        <v>859.81593600000269</v>
      </c>
      <c r="F43"/>
      <c r="G43"/>
      <c r="H43"/>
      <c r="I43" t="s">
        <v>209</v>
      </c>
      <c r="J43"/>
      <c r="K43"/>
      <c r="L43" s="22"/>
    </row>
    <row r="44" spans="1:14" s="25" customFormat="1" x14ac:dyDescent="0.25">
      <c r="A44" s="6"/>
      <c r="B44" s="10" t="s">
        <v>206</v>
      </c>
      <c r="C44" s="10"/>
      <c r="D44" s="10"/>
      <c r="E44" s="10">
        <f>L44</f>
        <v>26148.519936000004</v>
      </c>
      <c r="F44" s="6"/>
      <c r="G44" s="6"/>
      <c r="H44" s="6"/>
      <c r="I44" s="10" t="s">
        <v>210</v>
      </c>
      <c r="J44" s="10"/>
      <c r="K44" s="10"/>
      <c r="L44" s="92">
        <v>26148.519936000004</v>
      </c>
    </row>
    <row r="45" spans="1:14" s="26" customFormat="1" x14ac:dyDescent="0.25">
      <c r="A45"/>
      <c r="B45"/>
      <c r="C45"/>
      <c r="D45"/>
      <c r="E45"/>
      <c r="F45"/>
      <c r="G45"/>
      <c r="H45"/>
      <c r="I45"/>
      <c r="J45"/>
      <c r="K45"/>
      <c r="L45"/>
      <c r="N45" s="232"/>
    </row>
    <row r="46" spans="1:14" s="26" customFormat="1" x14ac:dyDescent="0.25">
      <c r="A46" s="3" t="s">
        <v>211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4" x14ac:dyDescent="0.25">
      <c r="I47" t="s">
        <v>75</v>
      </c>
    </row>
    <row r="48" spans="1:14" x14ac:dyDescent="0.25">
      <c r="B48" s="6" t="s">
        <v>212</v>
      </c>
      <c r="F48" s="31"/>
      <c r="G48" s="31"/>
      <c r="H48" s="31"/>
      <c r="I48" s="6" t="s">
        <v>221</v>
      </c>
      <c r="M48" s="14"/>
    </row>
    <row r="49" spans="1:18" x14ac:dyDescent="0.25">
      <c r="B49" s="74" t="s">
        <v>213</v>
      </c>
      <c r="F49" s="31">
        <f>G27</f>
        <v>25288.704000000002</v>
      </c>
      <c r="G49" s="31"/>
      <c r="H49" s="31"/>
      <c r="I49" s="74" t="s">
        <v>222</v>
      </c>
      <c r="K49" s="11">
        <v>0.1</v>
      </c>
    </row>
    <row r="50" spans="1:18" x14ac:dyDescent="0.25">
      <c r="B50" s="74" t="s">
        <v>214</v>
      </c>
      <c r="F50" s="31">
        <f>'Linked in Target'!I128/10^3</f>
        <v>4468.643</v>
      </c>
      <c r="G50" s="31"/>
      <c r="H50" s="31"/>
      <c r="I50" s="74" t="s">
        <v>223</v>
      </c>
      <c r="K50" s="14">
        <f>K49*'Linked in Target'!I109/10^3</f>
        <v>104.70050000000001</v>
      </c>
      <c r="N50" s="70"/>
      <c r="R50" s="65"/>
    </row>
    <row r="51" spans="1:18" x14ac:dyDescent="0.25">
      <c r="B51" s="74" t="s">
        <v>215</v>
      </c>
      <c r="F51" s="31">
        <f>'Linked in Target'!I110/10^3</f>
        <v>1507.0930000000001</v>
      </c>
      <c r="G51" s="31"/>
      <c r="H51" s="31"/>
      <c r="I51" s="95" t="s">
        <v>224</v>
      </c>
      <c r="K51" s="72">
        <v>10</v>
      </c>
      <c r="N51" s="13"/>
    </row>
    <row r="52" spans="1:18" x14ac:dyDescent="0.25">
      <c r="B52" s="93" t="s">
        <v>216</v>
      </c>
      <c r="C52" s="9"/>
      <c r="D52" s="9"/>
      <c r="E52" s="9"/>
      <c r="F52" s="92">
        <f>F49+F51-F50</f>
        <v>22327.154000000002</v>
      </c>
      <c r="G52" s="31"/>
      <c r="H52" s="31"/>
      <c r="K52" s="14"/>
    </row>
    <row r="53" spans="1:18" x14ac:dyDescent="0.25">
      <c r="B53" s="74"/>
      <c r="F53" s="31"/>
      <c r="G53" s="31"/>
      <c r="H53" s="31"/>
      <c r="K53" s="14"/>
    </row>
    <row r="54" spans="1:18" x14ac:dyDescent="0.25">
      <c r="B54" s="94" t="s">
        <v>217</v>
      </c>
      <c r="F54" s="31">
        <f>-K50</f>
        <v>-104.70050000000001</v>
      </c>
      <c r="G54" s="31"/>
      <c r="H54" s="31"/>
      <c r="I54" s="6" t="s">
        <v>225</v>
      </c>
      <c r="K54" s="14"/>
    </row>
    <row r="55" spans="1:18" x14ac:dyDescent="0.25">
      <c r="B55" s="74" t="s">
        <v>218</v>
      </c>
      <c r="F55" s="70">
        <f>-K56</f>
        <v>-7887</v>
      </c>
      <c r="G55" s="31"/>
      <c r="H55" s="31"/>
      <c r="I55" s="74" t="s">
        <v>313</v>
      </c>
      <c r="K55" s="11">
        <f>K56/F52</f>
        <v>0.35324699242903951</v>
      </c>
    </row>
    <row r="56" spans="1:18" x14ac:dyDescent="0.25">
      <c r="B56" s="74" t="s">
        <v>219</v>
      </c>
      <c r="F56" s="66">
        <v>-1327</v>
      </c>
      <c r="G56" s="31"/>
      <c r="H56" s="31"/>
      <c r="I56" s="75" t="s">
        <v>226</v>
      </c>
      <c r="K56" s="14">
        <v>7887</v>
      </c>
    </row>
    <row r="57" spans="1:18" x14ac:dyDescent="0.25">
      <c r="B57" s="74" t="s">
        <v>220</v>
      </c>
      <c r="F57" s="22">
        <f>K59</f>
        <v>2717.1781700000001</v>
      </c>
      <c r="G57" s="31"/>
      <c r="H57" s="31"/>
      <c r="I57" s="74" t="s">
        <v>227</v>
      </c>
      <c r="K57" s="14">
        <v>10</v>
      </c>
    </row>
    <row r="58" spans="1:18" x14ac:dyDescent="0.25">
      <c r="B58" s="93" t="s">
        <v>90</v>
      </c>
      <c r="C58" s="9"/>
      <c r="D58" s="9"/>
      <c r="E58" s="9"/>
      <c r="F58" s="92">
        <f>SUM(F52:F57)</f>
        <v>15725.631670000002</v>
      </c>
      <c r="G58" s="31"/>
      <c r="H58" s="31"/>
      <c r="I58" s="74"/>
      <c r="K58" s="14"/>
      <c r="N58" s="44"/>
    </row>
    <row r="59" spans="1:18" x14ac:dyDescent="0.25">
      <c r="G59" s="31"/>
      <c r="H59" s="31"/>
      <c r="I59" s="7" t="s">
        <v>228</v>
      </c>
      <c r="K59" s="14">
        <f>(K56+K50)*'Microsoft  acquirer'!$D$14</f>
        <v>2717.1781700000001</v>
      </c>
      <c r="N59" s="44"/>
    </row>
    <row r="60" spans="1:18" x14ac:dyDescent="0.25">
      <c r="P60" s="44"/>
    </row>
    <row r="61" spans="1:18" x14ac:dyDescent="0.25">
      <c r="F61" s="31"/>
      <c r="H61" s="241"/>
      <c r="J61" s="267" t="s">
        <v>315</v>
      </c>
      <c r="K61" s="268"/>
      <c r="L61" s="268"/>
      <c r="M61" s="268"/>
      <c r="N61" s="269"/>
      <c r="P61" s="44"/>
    </row>
    <row r="62" spans="1:18" x14ac:dyDescent="0.25">
      <c r="A62" s="3" t="s">
        <v>229</v>
      </c>
      <c r="B62" s="2"/>
      <c r="C62" s="2"/>
      <c r="D62" s="2"/>
      <c r="E62" s="2"/>
      <c r="F62" s="2"/>
      <c r="G62" s="2"/>
      <c r="H62" s="2"/>
      <c r="I62" s="2"/>
      <c r="J62" s="96">
        <f>K62-1</f>
        <v>2016</v>
      </c>
      <c r="K62" s="96">
        <v>2017</v>
      </c>
      <c r="L62" s="96">
        <f>K62+1</f>
        <v>2018</v>
      </c>
      <c r="M62" s="96">
        <f t="shared" ref="M62:N62" si="4">L62+1</f>
        <v>2019</v>
      </c>
      <c r="N62" s="96">
        <f t="shared" si="4"/>
        <v>2020</v>
      </c>
      <c r="O62" s="41"/>
      <c r="P62" s="40"/>
    </row>
    <row r="63" spans="1:18" x14ac:dyDescent="0.25">
      <c r="A63" s="7"/>
      <c r="H63" s="241"/>
      <c r="O63" s="14"/>
    </row>
    <row r="64" spans="1:18" x14ac:dyDescent="0.25">
      <c r="A64" s="7"/>
      <c r="B64" t="s">
        <v>230</v>
      </c>
      <c r="H64" s="241"/>
      <c r="J64" s="14">
        <f>'Microsoft  acquirer'!H33</f>
        <v>100851.24779749634</v>
      </c>
      <c r="K64" s="12">
        <f>'Microsoft  acquirer'!I33</f>
        <v>108687.47790459511</v>
      </c>
      <c r="L64" s="12">
        <f>'Microsoft  acquirer'!J33</f>
        <v>117132.58994059874</v>
      </c>
      <c r="M64" s="12">
        <f>'Microsoft  acquirer'!K33</f>
        <v>126233.89456360175</v>
      </c>
      <c r="N64" s="12">
        <f>'Microsoft  acquirer'!L33</f>
        <v>136042.37851118643</v>
      </c>
      <c r="O64" s="73"/>
      <c r="P64" s="44"/>
    </row>
    <row r="65" spans="1:16" x14ac:dyDescent="0.25">
      <c r="A65" s="7"/>
      <c r="B65" t="s">
        <v>231</v>
      </c>
      <c r="H65" s="241"/>
      <c r="J65" s="46">
        <f>'Linked in Target'!J36</f>
        <v>4358393.5956396339</v>
      </c>
      <c r="K65" s="85">
        <f>'Linked in Target'!K36</f>
        <v>6184231.5131920204</v>
      </c>
      <c r="L65" s="85">
        <f>'Linked in Target'!L36</f>
        <v>8707693.050615143</v>
      </c>
      <c r="M65" s="85">
        <f>'Linked in Target'!M36</f>
        <v>12435122.542316224</v>
      </c>
      <c r="N65" s="85">
        <f>'Linked in Target'!N36</f>
        <v>17637289.251553573</v>
      </c>
    </row>
    <row r="66" spans="1:16" x14ac:dyDescent="0.25">
      <c r="A66" s="7"/>
      <c r="B66" t="s">
        <v>232</v>
      </c>
      <c r="H66" s="241"/>
      <c r="J66" s="14">
        <v>0</v>
      </c>
      <c r="K66" s="14">
        <v>0</v>
      </c>
      <c r="L66" s="14">
        <v>0</v>
      </c>
      <c r="M66" s="14">
        <v>0</v>
      </c>
      <c r="N66" s="14">
        <v>0</v>
      </c>
      <c r="P66" s="7"/>
    </row>
    <row r="67" spans="1:16" x14ac:dyDescent="0.25">
      <c r="A67" s="7"/>
      <c r="B67" s="10" t="s">
        <v>233</v>
      </c>
      <c r="C67" s="10"/>
      <c r="D67" s="10"/>
      <c r="E67" s="10"/>
      <c r="F67" s="10"/>
      <c r="G67" s="10"/>
      <c r="H67" s="10"/>
      <c r="I67" s="10"/>
      <c r="J67" s="15">
        <f>100851.2+4358.4</f>
        <v>105209.59999999999</v>
      </c>
      <c r="K67" s="15">
        <f>108687+6184</f>
        <v>114871</v>
      </c>
      <c r="L67" s="15">
        <f>117133+8708</f>
        <v>125841</v>
      </c>
      <c r="M67" s="15">
        <f>126234+12435</f>
        <v>138669</v>
      </c>
      <c r="N67" s="15">
        <f>136042+17637</f>
        <v>153679</v>
      </c>
      <c r="P67" s="22"/>
    </row>
    <row r="68" spans="1:16" x14ac:dyDescent="0.25">
      <c r="A68" s="7"/>
      <c r="H68" s="241"/>
      <c r="J68" s="14"/>
      <c r="K68" s="14"/>
      <c r="L68" s="14"/>
      <c r="M68" s="14"/>
      <c r="N68" s="14"/>
      <c r="P68" s="7"/>
    </row>
    <row r="69" spans="1:16" x14ac:dyDescent="0.25">
      <c r="A69" s="7"/>
      <c r="B69" t="s">
        <v>234</v>
      </c>
      <c r="H69" s="241"/>
      <c r="J69" s="12">
        <f>'Microsoft  acquirer'!H34</f>
        <v>31154.246913147319</v>
      </c>
      <c r="K69" s="12">
        <f>'Microsoft  acquirer'!I34</f>
        <v>35279.895422119225</v>
      </c>
      <c r="L69" s="12">
        <f>'Microsoft  acquirer'!J34</f>
        <v>38519.357786387416</v>
      </c>
      <c r="M69" s="12">
        <f>'Microsoft  acquirer'!K34</f>
        <v>40494.356984644997</v>
      </c>
      <c r="N69" s="12">
        <f>'Microsoft  acquirer'!L34</f>
        <v>44179.32536365385</v>
      </c>
      <c r="P69" s="7"/>
    </row>
    <row r="70" spans="1:16" x14ac:dyDescent="0.25">
      <c r="A70" s="7"/>
      <c r="B70" t="s">
        <v>235</v>
      </c>
      <c r="H70" s="241"/>
      <c r="J70" s="12">
        <f>'Linked in Target'!J37/10^3</f>
        <v>588.67950631651377</v>
      </c>
      <c r="K70" s="12">
        <f>'Linked in Target'!K37/10^3</f>
        <v>840.07869382450497</v>
      </c>
      <c r="L70" s="12">
        <f>'Linked in Target'!L37/10^3</f>
        <v>1192.8194722604844</v>
      </c>
      <c r="M70" s="12">
        <f>'Linked in Target'!M37/10^3</f>
        <v>1690.7398112386779</v>
      </c>
      <c r="N70" s="12">
        <f>'Linked in Target'!N37/10^3</f>
        <v>2403.3245088739895</v>
      </c>
    </row>
    <row r="71" spans="1:16" x14ac:dyDescent="0.25">
      <c r="A71" s="7"/>
      <c r="B71" t="s">
        <v>236</v>
      </c>
      <c r="H71" s="241"/>
      <c r="J71" s="12">
        <v>-30</v>
      </c>
      <c r="K71" s="12">
        <v>-30</v>
      </c>
      <c r="L71" s="12">
        <v>-30</v>
      </c>
      <c r="M71" s="12">
        <v>-30</v>
      </c>
      <c r="N71" s="12">
        <v>-30</v>
      </c>
      <c r="O71" s="7" t="s">
        <v>42</v>
      </c>
    </row>
    <row r="72" spans="1:16" x14ac:dyDescent="0.25">
      <c r="A72" s="7"/>
      <c r="B72" s="10" t="s">
        <v>237</v>
      </c>
      <c r="C72" s="10"/>
      <c r="D72" s="10"/>
      <c r="E72" s="10"/>
      <c r="F72" s="10"/>
      <c r="G72" s="10"/>
      <c r="H72" s="10"/>
      <c r="I72" s="10"/>
      <c r="J72" s="81">
        <f>SUM(J69:J71)</f>
        <v>31712.926419463834</v>
      </c>
      <c r="K72" s="81">
        <f t="shared" ref="K72:N72" si="5">SUM(K69:K71)</f>
        <v>36089.974115943733</v>
      </c>
      <c r="L72" s="81">
        <f t="shared" si="5"/>
        <v>39682.177258647898</v>
      </c>
      <c r="M72" s="81">
        <f t="shared" si="5"/>
        <v>42155.096795883677</v>
      </c>
      <c r="N72" s="81">
        <f t="shared" si="5"/>
        <v>46552.649872527836</v>
      </c>
    </row>
    <row r="73" spans="1:16" x14ac:dyDescent="0.25">
      <c r="A73" s="7"/>
      <c r="H73" s="241"/>
      <c r="J73" s="14"/>
      <c r="K73" s="14"/>
      <c r="L73" s="14"/>
      <c r="M73" s="14"/>
      <c r="N73" s="14"/>
      <c r="O73" s="7"/>
      <c r="P73" s="7"/>
    </row>
    <row r="74" spans="1:16" x14ac:dyDescent="0.25">
      <c r="A74" s="7"/>
      <c r="B74" s="6" t="s">
        <v>138</v>
      </c>
      <c r="F74" t="s">
        <v>42</v>
      </c>
      <c r="H74" s="241"/>
      <c r="J74" s="86">
        <f>J67-J72</f>
        <v>73496.673580536153</v>
      </c>
      <c r="K74" s="86">
        <f t="shared" ref="K74:N74" si="6">K67-K72</f>
        <v>78781.02588405626</v>
      </c>
      <c r="L74" s="86">
        <f t="shared" si="6"/>
        <v>86158.822741352109</v>
      </c>
      <c r="M74" s="86">
        <f t="shared" si="6"/>
        <v>96513.90320411633</v>
      </c>
      <c r="N74" s="86">
        <f t="shared" si="6"/>
        <v>107126.35012747216</v>
      </c>
      <c r="O74" s="7"/>
      <c r="P74" s="7"/>
    </row>
    <row r="75" spans="1:16" x14ac:dyDescent="0.25">
      <c r="A75" s="7"/>
      <c r="H75" s="241"/>
      <c r="J75" s="14"/>
      <c r="K75" s="14"/>
      <c r="L75" s="14"/>
      <c r="M75" s="14"/>
      <c r="N75" s="14"/>
      <c r="O75" s="7"/>
      <c r="P75" s="7"/>
    </row>
    <row r="76" spans="1:16" x14ac:dyDescent="0.25">
      <c r="A76" s="7"/>
      <c r="B76" t="s">
        <v>238</v>
      </c>
      <c r="H76" s="241"/>
      <c r="J76" s="14">
        <f>SUM('Microsoft  acquirer'!H37:H40)</f>
        <v>37223.363895827133</v>
      </c>
      <c r="K76" s="14">
        <f>SUM('Microsoft  acquirer'!I37:I40)</f>
        <v>39293.134992011604</v>
      </c>
      <c r="L76" s="14">
        <f>SUM('Microsoft  acquirer'!J37:J40)</f>
        <v>42127.671041168433</v>
      </c>
      <c r="M76" s="14">
        <f>SUM('Microsoft  acquirer'!K37:K40)</f>
        <v>45876.501218103695</v>
      </c>
      <c r="N76" s="14">
        <f>SUM('Microsoft  acquirer'!L37:L40)</f>
        <v>49184.15393740846</v>
      </c>
      <c r="O76" s="7"/>
    </row>
    <row r="77" spans="1:16" x14ac:dyDescent="0.25">
      <c r="A77" s="7"/>
      <c r="B77" t="s">
        <v>239</v>
      </c>
      <c r="H77" s="241"/>
      <c r="J77" s="14">
        <f>SUM('Linked in Target'!J40:J43)/10^3</f>
        <v>3773.9292460007191</v>
      </c>
      <c r="K77" s="14">
        <f>SUM('Linked in Target'!K40:K43)/10^3</f>
        <v>5416.6071951043823</v>
      </c>
      <c r="L77" s="14">
        <f>SUM('Linked in Target'!L40:L43)/10^3</f>
        <v>7698.170575762023</v>
      </c>
      <c r="M77" s="14">
        <f>SUM('Linked in Target'!M40:M43)/10^3</f>
        <v>10884.207929037168</v>
      </c>
      <c r="N77" s="14">
        <f>SUM('Linked in Target'!N40:N43)/10^3</f>
        <v>15492.705951597069</v>
      </c>
      <c r="O77" s="8"/>
    </row>
    <row r="78" spans="1:16" x14ac:dyDescent="0.25">
      <c r="A78" s="7"/>
      <c r="B78" t="s">
        <v>240</v>
      </c>
      <c r="H78" s="241"/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7"/>
      <c r="P78" s="7"/>
    </row>
    <row r="79" spans="1:16" x14ac:dyDescent="0.25">
      <c r="A79" s="7"/>
      <c r="B79" s="10" t="s">
        <v>241</v>
      </c>
      <c r="C79" s="9"/>
      <c r="D79" s="9"/>
      <c r="E79" s="9"/>
      <c r="F79" s="9"/>
      <c r="G79" s="9"/>
      <c r="H79" s="9"/>
      <c r="I79" s="9"/>
      <c r="J79" s="81">
        <f>J76+J77</f>
        <v>40997.293141827853</v>
      </c>
      <c r="K79" s="81">
        <f t="shared" ref="K79:N79" si="7">K76+K77</f>
        <v>44709.74218711599</v>
      </c>
      <c r="L79" s="81">
        <f t="shared" si="7"/>
        <v>49825.841616930455</v>
      </c>
      <c r="M79" s="81">
        <f t="shared" si="7"/>
        <v>56760.709147140864</v>
      </c>
      <c r="N79" s="81">
        <f t="shared" si="7"/>
        <v>64676.859889005529</v>
      </c>
      <c r="O79" s="7"/>
      <c r="P79" s="7"/>
    </row>
    <row r="80" spans="1:16" s="7" customFormat="1" x14ac:dyDescent="0.25">
      <c r="B80" t="s">
        <v>242</v>
      </c>
      <c r="C80"/>
      <c r="D80"/>
      <c r="E80"/>
      <c r="F80"/>
      <c r="G80"/>
      <c r="H80" s="241"/>
      <c r="I80"/>
      <c r="J80" s="14">
        <f>'Microsoft  acquirer'!H74</f>
        <v>5779.2615868495577</v>
      </c>
      <c r="K80" s="14">
        <f>'Microsoft  acquirer'!I74</f>
        <v>6556.9284997862451</v>
      </c>
      <c r="L80" s="14">
        <f>'Microsoft  acquirer'!J74</f>
        <v>7078.3166817131223</v>
      </c>
      <c r="M80" s="14">
        <f>'Microsoft  acquirer'!K74</f>
        <v>7492.5303437737166</v>
      </c>
      <c r="N80" s="14">
        <f>'Microsoft  acquirer'!L74</f>
        <v>8167.64778624668</v>
      </c>
    </row>
    <row r="81" spans="1:16" s="7" customFormat="1" x14ac:dyDescent="0.25">
      <c r="B81" t="s">
        <v>243</v>
      </c>
      <c r="C81"/>
      <c r="D81"/>
      <c r="E81"/>
      <c r="F81"/>
      <c r="G81"/>
      <c r="H81" s="241"/>
      <c r="I81"/>
      <c r="J81" s="14">
        <f>'Linked in Target'!J84/10^3</f>
        <v>487.23592221049427</v>
      </c>
      <c r="K81" s="14">
        <f>'Linked in Target'!K84/10^3</f>
        <v>740.39175253428959</v>
      </c>
      <c r="L81" s="14">
        <f>'Linked in Target'!L84/10^3</f>
        <v>1080.0393080367905</v>
      </c>
      <c r="M81" s="14">
        <f>'Linked in Target'!M84/10^3</f>
        <v>1473.7602986315694</v>
      </c>
      <c r="N81" s="14">
        <f>'Linked in Target'!N84/10^3</f>
        <v>2129.8275049397766</v>
      </c>
    </row>
    <row r="82" spans="1:16" s="7" customFormat="1" x14ac:dyDescent="0.25">
      <c r="B82" s="10" t="s">
        <v>316</v>
      </c>
      <c r="C82" s="9"/>
      <c r="D82" s="9"/>
      <c r="E82" s="9"/>
      <c r="F82" s="9"/>
      <c r="G82" s="9"/>
      <c r="H82" s="9"/>
      <c r="I82" s="9"/>
      <c r="J82" s="87">
        <f>J79-SUM(J80:J81)</f>
        <v>34730.795632767804</v>
      </c>
      <c r="K82" s="87">
        <f t="shared" ref="K82:N82" si="8">K79-SUM(K80:K81)</f>
        <v>37412.421934795457</v>
      </c>
      <c r="L82" s="87">
        <f t="shared" si="8"/>
        <v>41667.48562718054</v>
      </c>
      <c r="M82" s="87">
        <f t="shared" si="8"/>
        <v>47794.418504735579</v>
      </c>
      <c r="N82" s="87">
        <f t="shared" si="8"/>
        <v>54379.384597819073</v>
      </c>
    </row>
    <row r="83" spans="1:16" s="7" customFormat="1" x14ac:dyDescent="0.25">
      <c r="H83" s="241"/>
      <c r="J83" s="14"/>
      <c r="K83" s="14"/>
      <c r="L83" s="14"/>
      <c r="M83" s="14"/>
      <c r="N83" s="14"/>
    </row>
    <row r="84" spans="1:16" x14ac:dyDescent="0.25">
      <c r="A84" s="7"/>
      <c r="B84" s="10" t="s">
        <v>244</v>
      </c>
      <c r="C84" s="9"/>
      <c r="D84" s="9"/>
      <c r="E84" s="9"/>
      <c r="F84" s="9"/>
      <c r="G84" s="9"/>
      <c r="H84" s="9"/>
      <c r="I84" s="9"/>
      <c r="J84" s="81">
        <f>J74-J82</f>
        <v>38765.877947768349</v>
      </c>
      <c r="K84" s="81">
        <f t="shared" ref="K84:N84" si="9">K74-K82</f>
        <v>41368.603949260803</v>
      </c>
      <c r="L84" s="81">
        <f t="shared" si="9"/>
        <v>44491.337114171569</v>
      </c>
      <c r="M84" s="81">
        <f t="shared" si="9"/>
        <v>48719.484699380751</v>
      </c>
      <c r="N84" s="81">
        <f t="shared" si="9"/>
        <v>52746.965529653091</v>
      </c>
      <c r="O84" s="7"/>
      <c r="P84" s="7"/>
    </row>
    <row r="85" spans="1:16" s="7" customFormat="1" x14ac:dyDescent="0.25">
      <c r="H85" s="241"/>
      <c r="J85" s="14"/>
      <c r="K85" s="14"/>
      <c r="L85" s="14"/>
      <c r="M85" s="14"/>
      <c r="N85" s="14"/>
    </row>
    <row r="86" spans="1:16" x14ac:dyDescent="0.25">
      <c r="A86" s="7"/>
      <c r="B86" s="7" t="s">
        <v>242</v>
      </c>
      <c r="C86" s="7"/>
      <c r="D86" s="7"/>
      <c r="E86" s="7"/>
      <c r="F86" s="7"/>
      <c r="G86" s="7"/>
      <c r="H86" s="241"/>
      <c r="I86" s="7"/>
      <c r="J86" s="14">
        <v>5779.2615868495577</v>
      </c>
      <c r="K86" s="14">
        <v>6556.9284997862451</v>
      </c>
      <c r="L86" s="14">
        <v>7078.3166817131223</v>
      </c>
      <c r="M86" s="14">
        <v>7492.5303437737166</v>
      </c>
      <c r="N86" s="14">
        <v>8167.64778624668</v>
      </c>
      <c r="O86" s="8"/>
      <c r="P86" s="7"/>
    </row>
    <row r="87" spans="1:16" x14ac:dyDescent="0.25">
      <c r="A87" s="7"/>
      <c r="B87" s="7" t="s">
        <v>243</v>
      </c>
      <c r="C87" s="7"/>
      <c r="D87" s="7"/>
      <c r="E87" s="7"/>
      <c r="F87" s="7"/>
      <c r="G87" s="7"/>
      <c r="H87" s="241"/>
      <c r="I87" s="7"/>
      <c r="J87" s="14">
        <v>487.23592221049427</v>
      </c>
      <c r="K87" s="14">
        <v>740.39175253428959</v>
      </c>
      <c r="L87" s="14">
        <v>1080.0393080367905</v>
      </c>
      <c r="M87" s="14">
        <v>1473.7602986315694</v>
      </c>
      <c r="N87" s="14">
        <v>2129.8275049397766</v>
      </c>
      <c r="O87" s="7"/>
    </row>
    <row r="88" spans="1:16" x14ac:dyDescent="0.25">
      <c r="A88" s="7"/>
      <c r="B88" t="s">
        <v>245</v>
      </c>
      <c r="H88" s="241"/>
      <c r="J88" s="14">
        <f>$K$56/$K$57</f>
        <v>788.7</v>
      </c>
      <c r="K88" s="14">
        <f>$K$56/$K$57</f>
        <v>788.7</v>
      </c>
      <c r="L88" s="14">
        <f>$K$56/$K$57</f>
        <v>788.7</v>
      </c>
      <c r="M88" s="14">
        <f>$K$56/$K$57</f>
        <v>788.7</v>
      </c>
      <c r="N88" s="14">
        <f>$K$56/$K$57</f>
        <v>788.7</v>
      </c>
      <c r="O88" s="7"/>
    </row>
    <row r="89" spans="1:16" x14ac:dyDescent="0.25">
      <c r="A89" s="7"/>
      <c r="B89" t="s">
        <v>246</v>
      </c>
      <c r="H89" s="241"/>
      <c r="J89" s="14">
        <f>$K$50/$K$51</f>
        <v>10.470050000000001</v>
      </c>
      <c r="K89" s="14">
        <f>$K$50/$K$51</f>
        <v>10.470050000000001</v>
      </c>
      <c r="L89" s="14">
        <f>$K$50/$K$51</f>
        <v>10.470050000000001</v>
      </c>
      <c r="M89" s="14">
        <f>$K$50/$K$51</f>
        <v>10.470050000000001</v>
      </c>
      <c r="N89" s="14">
        <f>$K$50/$K$51</f>
        <v>10.470050000000001</v>
      </c>
      <c r="O89" s="7"/>
      <c r="P89" s="7"/>
    </row>
    <row r="90" spans="1:16" x14ac:dyDescent="0.25">
      <c r="A90" s="7"/>
      <c r="H90" s="241"/>
      <c r="J90" s="14"/>
      <c r="K90" s="14"/>
      <c r="L90" s="14"/>
      <c r="M90" s="14"/>
      <c r="N90" s="14"/>
      <c r="O90" s="8"/>
      <c r="P90" s="7"/>
    </row>
    <row r="91" spans="1:16" x14ac:dyDescent="0.25">
      <c r="A91" s="7"/>
      <c r="B91" s="10" t="s">
        <v>247</v>
      </c>
      <c r="C91" s="9"/>
      <c r="D91" s="9"/>
      <c r="E91" s="9"/>
      <c r="F91" s="9"/>
      <c r="G91" s="9"/>
      <c r="H91" s="9"/>
      <c r="I91" s="9"/>
      <c r="J91" s="81">
        <f>J84-SUM(J86:J90)</f>
        <v>31700.210388708299</v>
      </c>
      <c r="K91" s="81">
        <f t="shared" ref="K91:N91" si="10">K84-SUM(K86:K90)</f>
        <v>33272.11364694027</v>
      </c>
      <c r="L91" s="81">
        <f t="shared" si="10"/>
        <v>35533.811074421654</v>
      </c>
      <c r="M91" s="81">
        <f t="shared" si="10"/>
        <v>38954.024006975465</v>
      </c>
      <c r="N91" s="81">
        <f t="shared" si="10"/>
        <v>41650.320188466634</v>
      </c>
      <c r="O91" s="7"/>
      <c r="P91" s="7"/>
    </row>
    <row r="92" spans="1:16" x14ac:dyDescent="0.25">
      <c r="A92" s="7"/>
      <c r="H92" s="241"/>
      <c r="J92" s="14"/>
      <c r="K92" s="14"/>
      <c r="L92" s="14"/>
      <c r="M92" s="14"/>
      <c r="N92" s="14"/>
      <c r="O92" s="7"/>
      <c r="P92" s="7"/>
    </row>
    <row r="93" spans="1:16" x14ac:dyDescent="0.25">
      <c r="A93" s="7"/>
      <c r="B93" t="s">
        <v>317</v>
      </c>
      <c r="H93" s="241"/>
      <c r="J93" s="31">
        <f t="array" ref="J93">TRANSPOSE(N24:N28)</f>
        <v>682.79500800000005</v>
      </c>
      <c r="K93" s="31">
        <f t="array" ref="K93">TRANSPOSE(N25:N28)</f>
        <v>553.41379033165515</v>
      </c>
      <c r="L93" s="31">
        <f t="array" ref="L93">TRANSPOSE(N26:N28)</f>
        <v>420.53927978626507</v>
      </c>
      <c r="M93" s="31">
        <f t="array" ref="M93">TRANSPOSE(N27:N28)</f>
        <v>284.07715745614945</v>
      </c>
      <c r="N93" s="31">
        <f t="array" ref="N93">TRANSPOSE(N28)</f>
        <v>143.93055782312067</v>
      </c>
      <c r="O93" s="7"/>
    </row>
    <row r="94" spans="1:16" x14ac:dyDescent="0.25">
      <c r="A94" s="7"/>
      <c r="B94" t="s">
        <v>248</v>
      </c>
      <c r="H94" s="241"/>
      <c r="J94" s="14">
        <f>-$N$14/$G$32</f>
        <v>-5057.7408000000005</v>
      </c>
      <c r="K94" s="14">
        <f>-$N$14/$G$32</f>
        <v>-5057.7408000000005</v>
      </c>
      <c r="L94" s="14">
        <f>-$N$14/$G$32</f>
        <v>-5057.7408000000005</v>
      </c>
      <c r="M94" s="14">
        <f>-$N$14/$G$32</f>
        <v>-5057.7408000000005</v>
      </c>
      <c r="N94" s="14">
        <f>-$N$14/$G$32</f>
        <v>-5057.7408000000005</v>
      </c>
      <c r="O94" s="7"/>
    </row>
    <row r="95" spans="1:16" x14ac:dyDescent="0.25">
      <c r="A95" s="7"/>
      <c r="B95" t="s">
        <v>249</v>
      </c>
      <c r="H95" s="241"/>
      <c r="J95" s="14">
        <f>-$E$43*$O$13</f>
        <v>-92.347028459899335</v>
      </c>
      <c r="K95" s="14">
        <f>-$E$43*$O$13</f>
        <v>-92.347028459899335</v>
      </c>
      <c r="L95" s="14">
        <f>-$E$43*$O$13</f>
        <v>-92.347028459899335</v>
      </c>
      <c r="M95" s="14">
        <f>-$E$43*$O$13</f>
        <v>-92.347028459899335</v>
      </c>
      <c r="N95" s="14">
        <f>-$E$43*$O$13</f>
        <v>-92.347028459899335</v>
      </c>
      <c r="O95" s="8"/>
    </row>
    <row r="96" spans="1:16" x14ac:dyDescent="0.25">
      <c r="A96" s="7"/>
      <c r="B96" s="10" t="s">
        <v>250</v>
      </c>
      <c r="C96" s="9"/>
      <c r="D96" s="9"/>
      <c r="E96" s="9"/>
      <c r="F96" s="9"/>
      <c r="G96" s="9"/>
      <c r="H96" s="9"/>
      <c r="I96" s="9"/>
      <c r="J96" s="80">
        <f>J91+J93+J94+J95</f>
        <v>27232.917568248402</v>
      </c>
      <c r="K96" s="80">
        <f t="shared" ref="K96:N96" si="11">K91+K93+K94+K95</f>
        <v>28675.43960881203</v>
      </c>
      <c r="L96" s="80">
        <f t="shared" si="11"/>
        <v>30804.262525748021</v>
      </c>
      <c r="M96" s="80">
        <f t="shared" si="11"/>
        <v>34088.013335971715</v>
      </c>
      <c r="N96" s="80">
        <f t="shared" si="11"/>
        <v>36644.162917829854</v>
      </c>
    </row>
    <row r="97" spans="1:15" x14ac:dyDescent="0.25">
      <c r="A97" s="7"/>
      <c r="B97" t="s">
        <v>251</v>
      </c>
      <c r="H97" s="241"/>
      <c r="J97" s="14">
        <f>J96*'Microsoft  acquirer'!$D$14</f>
        <v>9259.1919732044571</v>
      </c>
      <c r="K97" s="14">
        <f>K96*'Microsoft  acquirer'!$D$14</f>
        <v>9749.6494669960903</v>
      </c>
      <c r="L97" s="14">
        <f>L96*'Microsoft  acquirer'!$D$14</f>
        <v>10473.449258754328</v>
      </c>
      <c r="M97" s="14">
        <f>M96*'Microsoft  acquirer'!$D$14</f>
        <v>11589.924534230384</v>
      </c>
      <c r="N97" s="14">
        <f>N96*'Microsoft  acquirer'!$D$14</f>
        <v>12459.015392062151</v>
      </c>
    </row>
    <row r="98" spans="1:15" x14ac:dyDescent="0.25">
      <c r="A98" s="7"/>
      <c r="B98" s="10" t="s">
        <v>252</v>
      </c>
      <c r="C98" s="9"/>
      <c r="D98" s="9"/>
      <c r="E98" s="9"/>
      <c r="F98" s="9"/>
      <c r="G98" s="9"/>
      <c r="H98" s="9"/>
      <c r="I98" s="9"/>
      <c r="J98" s="80">
        <f>J96-J97</f>
        <v>17973.725595043943</v>
      </c>
      <c r="K98" s="80">
        <f t="shared" ref="K98:N98" si="12">K96-K97</f>
        <v>18925.790141815938</v>
      </c>
      <c r="L98" s="80">
        <f t="shared" si="12"/>
        <v>20330.813266993693</v>
      </c>
      <c r="M98" s="80">
        <f t="shared" si="12"/>
        <v>22498.088801741331</v>
      </c>
      <c r="N98" s="80">
        <f t="shared" si="12"/>
        <v>24185.147525767701</v>
      </c>
    </row>
    <row r="99" spans="1:15" x14ac:dyDescent="0.25">
      <c r="A99" s="7"/>
      <c r="B99" t="s">
        <v>253</v>
      </c>
      <c r="H99" s="241"/>
      <c r="J99" s="14">
        <v>0</v>
      </c>
      <c r="K99" s="14">
        <v>0</v>
      </c>
      <c r="L99" s="14">
        <v>0</v>
      </c>
      <c r="M99" s="14">
        <v>0</v>
      </c>
      <c r="N99" s="14">
        <v>0</v>
      </c>
    </row>
    <row r="100" spans="1:15" s="6" customFormat="1" x14ac:dyDescent="0.25">
      <c r="B100" s="10" t="s">
        <v>254</v>
      </c>
      <c r="C100" s="10"/>
      <c r="D100" s="10"/>
      <c r="E100" s="10"/>
      <c r="F100" s="10"/>
      <c r="G100" s="10"/>
      <c r="H100" s="10"/>
      <c r="I100" s="10"/>
      <c r="J100" s="81">
        <f>SUM(J98:J99)</f>
        <v>17973.725595043943</v>
      </c>
      <c r="K100" s="81">
        <f t="shared" ref="K100:N100" si="13">SUM(K98:K99)</f>
        <v>18925.790141815938</v>
      </c>
      <c r="L100" s="81">
        <f t="shared" si="13"/>
        <v>20330.813266993693</v>
      </c>
      <c r="M100" s="81">
        <f t="shared" si="13"/>
        <v>22498.088801741331</v>
      </c>
      <c r="N100" s="81">
        <f t="shared" si="13"/>
        <v>24185.147525767701</v>
      </c>
    </row>
    <row r="101" spans="1:15" x14ac:dyDescent="0.25">
      <c r="A101" s="7"/>
      <c r="B101" s="13"/>
      <c r="C101" s="13"/>
      <c r="D101" s="13"/>
      <c r="E101" s="13"/>
      <c r="F101" s="13"/>
      <c r="G101" s="13"/>
      <c r="H101" s="13"/>
      <c r="I101" s="13"/>
      <c r="J101" s="72"/>
      <c r="K101" s="72"/>
      <c r="L101" s="72"/>
      <c r="M101" s="72"/>
      <c r="N101" s="72"/>
    </row>
    <row r="102" spans="1:15" x14ac:dyDescent="0.25">
      <c r="A102" s="7"/>
      <c r="B102" s="6" t="s">
        <v>255</v>
      </c>
      <c r="H102" s="241"/>
      <c r="J102" s="86">
        <f>'Microsoft  acquirer'!H54:L54</f>
        <v>8254</v>
      </c>
      <c r="K102" s="86">
        <f>'Microsoft  acquirer'!I54:M54</f>
        <v>8254</v>
      </c>
      <c r="L102" s="86">
        <f>'Microsoft  acquirer'!J54:N54</f>
        <v>8254</v>
      </c>
      <c r="M102" s="86">
        <f>L102</f>
        <v>8254</v>
      </c>
      <c r="N102" s="86">
        <v>8254</v>
      </c>
    </row>
    <row r="103" spans="1:15" x14ac:dyDescent="0.25">
      <c r="A103" s="7"/>
      <c r="B103" s="6" t="s">
        <v>256</v>
      </c>
      <c r="H103" s="241"/>
      <c r="J103" s="86">
        <f>J100/J102</f>
        <v>2.1775776102548998</v>
      </c>
      <c r="K103" s="86">
        <f t="shared" ref="K103:N103" si="14">K100/K102</f>
        <v>2.2929234482452068</v>
      </c>
      <c r="L103" s="86">
        <f t="shared" si="14"/>
        <v>2.4631467490905856</v>
      </c>
      <c r="M103" s="285">
        <f>M100/M102</f>
        <v>2.7257195059051771</v>
      </c>
      <c r="N103" s="86">
        <f t="shared" si="14"/>
        <v>2.9301123728819602</v>
      </c>
    </row>
    <row r="104" spans="1:15" x14ac:dyDescent="0.25">
      <c r="A104" s="7"/>
      <c r="B104" s="6" t="s">
        <v>257</v>
      </c>
      <c r="H104" s="241"/>
      <c r="J104" s="86">
        <f>'Microsoft  acquirer'!H50</f>
        <v>2.996084801795901</v>
      </c>
      <c r="K104" s="86">
        <f>'Microsoft  acquirer'!I50</f>
        <v>3.1473751966411108</v>
      </c>
      <c r="L104" s="86">
        <f>'Microsoft  acquirer'!J50</f>
        <v>3.3755053799470027</v>
      </c>
      <c r="M104" s="86">
        <f>'Microsoft  acquirer'!K50</f>
        <v>3.6811862001410081</v>
      </c>
      <c r="N104" s="86">
        <f>'Microsoft  acquirer'!L50</f>
        <v>3.9424114967636354</v>
      </c>
    </row>
    <row r="105" spans="1:15" x14ac:dyDescent="0.25">
      <c r="A105" s="7"/>
      <c r="B105" s="6" t="s">
        <v>258</v>
      </c>
      <c r="H105" s="241"/>
      <c r="J105" s="86">
        <f>J103-J104</f>
        <v>-0.81850719154100116</v>
      </c>
      <c r="K105" s="86">
        <f t="shared" ref="K105:N105" si="15">K103-K104</f>
        <v>-0.85445174839590399</v>
      </c>
      <c r="L105" s="86">
        <f t="shared" si="15"/>
        <v>-0.91235863085641711</v>
      </c>
      <c r="M105" s="86">
        <f t="shared" si="15"/>
        <v>-0.95546669423583097</v>
      </c>
      <c r="N105" s="86">
        <f t="shared" si="15"/>
        <v>-1.0122991238816752</v>
      </c>
    </row>
    <row r="106" spans="1:15" x14ac:dyDescent="0.25">
      <c r="A106" s="7"/>
      <c r="H106" s="241"/>
      <c r="J106" s="14"/>
      <c r="K106" s="14"/>
      <c r="L106" s="14"/>
      <c r="M106" s="14"/>
      <c r="N106" s="14"/>
    </row>
    <row r="107" spans="1:15" s="6" customFormat="1" x14ac:dyDescent="0.25">
      <c r="A107" s="97" t="s">
        <v>318</v>
      </c>
      <c r="B107" s="97"/>
      <c r="C107" s="97"/>
      <c r="D107" s="97"/>
      <c r="E107" s="3"/>
      <c r="F107" s="3"/>
      <c r="G107" s="3"/>
      <c r="H107" s="3"/>
      <c r="I107" s="3"/>
      <c r="J107" s="96">
        <f>K107-1</f>
        <v>2016</v>
      </c>
      <c r="K107" s="96">
        <v>2017</v>
      </c>
      <c r="L107" s="96">
        <f>K107+1</f>
        <v>2018</v>
      </c>
      <c r="M107" s="96">
        <f t="shared" ref="M107:N107" si="16">L107+1</f>
        <v>2019</v>
      </c>
      <c r="N107" s="96">
        <f t="shared" si="16"/>
        <v>2020</v>
      </c>
    </row>
    <row r="108" spans="1:15" s="26" customFormat="1" x14ac:dyDescent="0.25">
      <c r="A108" s="88"/>
      <c r="B108" t="s">
        <v>319</v>
      </c>
      <c r="C108"/>
      <c r="D108"/>
      <c r="E108"/>
      <c r="F108"/>
      <c r="G108"/>
      <c r="H108" s="241"/>
      <c r="I108"/>
      <c r="J108" s="14">
        <f>E41</f>
        <v>25288.704000000002</v>
      </c>
      <c r="K108" s="14">
        <f>J111</f>
        <v>20496.807049320563</v>
      </c>
      <c r="L108" s="14">
        <f>K111</f>
        <v>15575.528880972781</v>
      </c>
      <c r="M108" s="14">
        <f>L111</f>
        <v>10521.376202079609</v>
      </c>
      <c r="N108" s="14">
        <f>M111</f>
        <v>5330.7614008563214</v>
      </c>
      <c r="O108"/>
    </row>
    <row r="109" spans="1:15" x14ac:dyDescent="0.25">
      <c r="A109" s="7"/>
      <c r="B109" t="s">
        <v>320</v>
      </c>
      <c r="H109" s="241"/>
      <c r="J109" s="14"/>
      <c r="K109" s="14"/>
      <c r="L109" s="14"/>
      <c r="M109" s="14"/>
      <c r="N109" s="14"/>
    </row>
    <row r="110" spans="1:15" x14ac:dyDescent="0.25">
      <c r="A110" s="7"/>
      <c r="B110" t="s">
        <v>321</v>
      </c>
      <c r="H110" s="241"/>
      <c r="J110" s="14">
        <f t="array" ref="J110">TRANSPOSE(O24:O28)</f>
        <v>4791.8969506794374</v>
      </c>
      <c r="K110" s="14">
        <f t="array" ref="K110">TRANSPOSE(O25:O28)</f>
        <v>4921.2781683477824</v>
      </c>
      <c r="L110" s="14">
        <f t="array" ref="L110">TRANSPOSE(O26:O28)</f>
        <v>5054.1526788931724</v>
      </c>
      <c r="M110" s="14">
        <f t="array" ref="M110">TRANSPOSE(O27:O28)</f>
        <v>5190.6148012232879</v>
      </c>
      <c r="N110" s="14">
        <f t="array" ref="N110">TRANSPOSE(O28)</f>
        <v>5330.7614008563169</v>
      </c>
    </row>
    <row r="111" spans="1:15" x14ac:dyDescent="0.25">
      <c r="A111" s="13"/>
      <c r="B111" s="89" t="s">
        <v>322</v>
      </c>
      <c r="C111" s="89"/>
      <c r="D111" s="89"/>
      <c r="E111" s="89"/>
      <c r="F111" s="89"/>
      <c r="G111" s="89"/>
      <c r="H111" s="89"/>
      <c r="I111" s="89"/>
      <c r="J111" s="90">
        <f>J108-J110</f>
        <v>20496.807049320563</v>
      </c>
      <c r="K111" s="90">
        <f t="shared" ref="K111" si="17">K108-K110</f>
        <v>15575.528880972781</v>
      </c>
      <c r="L111" s="90">
        <f t="shared" ref="L111" si="18">L108-L110</f>
        <v>10521.376202079609</v>
      </c>
      <c r="M111" s="90">
        <f t="shared" ref="M111" si="19">M108-M110</f>
        <v>5330.7614008563214</v>
      </c>
      <c r="N111" s="90">
        <f t="shared" ref="N111" si="20">N108-N110</f>
        <v>0</v>
      </c>
      <c r="O111" s="6"/>
    </row>
    <row r="112" spans="1:15" s="6" customFormat="1" x14ac:dyDescent="0.25">
      <c r="A112" s="23"/>
    </row>
    <row r="113" spans="1:14" x14ac:dyDescent="0.25">
      <c r="A113" s="13"/>
      <c r="J113" s="14"/>
      <c r="K113" s="14" t="s">
        <v>42</v>
      </c>
      <c r="L113" s="14"/>
      <c r="M113" s="14"/>
      <c r="N113" s="14"/>
    </row>
    <row r="114" spans="1:14" s="2" customFormat="1" x14ac:dyDescent="0.25">
      <c r="J114" s="91"/>
      <c r="K114" s="91"/>
      <c r="L114" s="91"/>
      <c r="M114" s="91"/>
      <c r="N114" s="91"/>
    </row>
  </sheetData>
  <mergeCells count="2">
    <mergeCell ref="F39:H39"/>
    <mergeCell ref="J61:N6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51A07-18DC-44E8-BDAA-47EE09736765}">
  <dimension ref="A1:Q58"/>
  <sheetViews>
    <sheetView showGridLines="0" zoomScale="71" zoomScaleNormal="85" workbookViewId="0">
      <selection activeCell="E1" sqref="E1"/>
    </sheetView>
  </sheetViews>
  <sheetFormatPr defaultRowHeight="15" x14ac:dyDescent="0.25"/>
  <cols>
    <col min="2" max="2" width="40.140625" bestFit="1" customWidth="1"/>
    <col min="5" max="6" width="10" bestFit="1" customWidth="1"/>
    <col min="7" max="7" width="10.42578125" customWidth="1"/>
    <col min="8" max="8" width="11" bestFit="1" customWidth="1"/>
    <col min="10" max="10" width="29.85546875" bestFit="1" customWidth="1"/>
  </cols>
  <sheetData>
    <row r="1" spans="1:17" x14ac:dyDescent="0.25">
      <c r="K1" s="11"/>
    </row>
    <row r="2" spans="1:17" s="179" customFormat="1" x14ac:dyDescent="0.25">
      <c r="A2" s="242" t="s">
        <v>359</v>
      </c>
      <c r="K2" s="11"/>
    </row>
    <row r="3" spans="1:17" s="179" customFormat="1" x14ac:dyDescent="0.25">
      <c r="A3" s="242" t="s">
        <v>360</v>
      </c>
      <c r="K3" s="11"/>
    </row>
    <row r="4" spans="1:17" s="179" customFormat="1" x14ac:dyDescent="0.25">
      <c r="A4" s="242" t="s">
        <v>361</v>
      </c>
      <c r="K4" s="11"/>
    </row>
    <row r="5" spans="1:17" s="179" customFormat="1" x14ac:dyDescent="0.25">
      <c r="A5" s="243" t="s">
        <v>380</v>
      </c>
      <c r="K5" s="11"/>
    </row>
    <row r="6" spans="1:17" s="179" customFormat="1" x14ac:dyDescent="0.25">
      <c r="A6" s="243" t="s">
        <v>381</v>
      </c>
      <c r="K6" s="11"/>
    </row>
    <row r="7" spans="1:17" s="179" customFormat="1" x14ac:dyDescent="0.25">
      <c r="A7" s="242" t="s">
        <v>162</v>
      </c>
      <c r="K7" s="11"/>
    </row>
    <row r="9" spans="1:17" s="6" customFormat="1" x14ac:dyDescent="0.25">
      <c r="A9" s="3" t="s">
        <v>286</v>
      </c>
      <c r="B9" s="3"/>
      <c r="C9" s="3"/>
      <c r="D9" s="3"/>
      <c r="E9" s="113">
        <v>2016</v>
      </c>
      <c r="F9" s="112">
        <v>2016</v>
      </c>
      <c r="G9" s="111" t="s">
        <v>284</v>
      </c>
      <c r="H9" s="111" t="s">
        <v>285</v>
      </c>
      <c r="I9" s="3"/>
      <c r="J9" s="233">
        <v>2016</v>
      </c>
      <c r="K9" s="234"/>
      <c r="L9" s="234"/>
      <c r="M9" s="234"/>
      <c r="N9" s="234"/>
      <c r="O9" s="234"/>
      <c r="P9" s="234"/>
      <c r="Q9" s="39"/>
    </row>
    <row r="10" spans="1:17" s="6" customFormat="1" x14ac:dyDescent="0.25">
      <c r="A10" s="3" t="s">
        <v>162</v>
      </c>
      <c r="B10" s="3"/>
      <c r="C10" s="3"/>
      <c r="D10" s="3"/>
      <c r="E10" s="115" t="s">
        <v>287</v>
      </c>
      <c r="F10" s="114" t="s">
        <v>288</v>
      </c>
      <c r="G10" s="110" t="s">
        <v>289</v>
      </c>
      <c r="H10" s="110"/>
      <c r="I10" s="110"/>
      <c r="J10" s="110" t="s">
        <v>286</v>
      </c>
      <c r="K10" s="39"/>
      <c r="L10" s="39"/>
      <c r="M10" s="39"/>
      <c r="N10" s="39"/>
      <c r="O10" s="39"/>
      <c r="P10" s="39"/>
      <c r="Q10" s="39"/>
    </row>
    <row r="11" spans="1:17" x14ac:dyDescent="0.25">
      <c r="F11" s="77"/>
      <c r="J11" s="13"/>
      <c r="K11" s="13"/>
      <c r="L11" s="13"/>
      <c r="M11" s="13"/>
      <c r="N11" s="13"/>
      <c r="O11" s="13"/>
      <c r="P11" s="13"/>
    </row>
    <row r="12" spans="1:17" x14ac:dyDescent="0.25">
      <c r="B12" s="6" t="s">
        <v>300</v>
      </c>
      <c r="E12" t="s">
        <v>75</v>
      </c>
      <c r="F12" s="77"/>
      <c r="J12" s="13"/>
      <c r="K12" s="13"/>
      <c r="L12" s="13"/>
      <c r="M12" s="13"/>
      <c r="N12" s="13"/>
      <c r="O12" s="13"/>
      <c r="P12" s="13"/>
    </row>
    <row r="13" spans="1:17" x14ac:dyDescent="0.25">
      <c r="B13" s="6" t="s">
        <v>290</v>
      </c>
      <c r="D13" t="s">
        <v>42</v>
      </c>
      <c r="F13" s="77"/>
      <c r="J13" s="13"/>
      <c r="K13" s="13"/>
      <c r="L13" s="13"/>
      <c r="M13" s="13"/>
      <c r="N13" s="13"/>
      <c r="O13" s="13"/>
      <c r="P13" s="13"/>
    </row>
    <row r="14" spans="1:17" x14ac:dyDescent="0.25">
      <c r="B14" s="7" t="s">
        <v>262</v>
      </c>
      <c r="E14" s="8">
        <v>6510</v>
      </c>
      <c r="F14" s="78">
        <v>546.24</v>
      </c>
      <c r="G14" s="14">
        <v>0</v>
      </c>
      <c r="H14" s="14">
        <f>'Merger Model'!E43</f>
        <v>859.81593600000269</v>
      </c>
      <c r="I14" s="14"/>
      <c r="J14" s="72">
        <f>SUM(E14:H14)</f>
        <v>7916.0559360000025</v>
      </c>
      <c r="K14" s="13"/>
      <c r="L14" s="13"/>
      <c r="M14" s="13"/>
      <c r="N14" s="13"/>
      <c r="O14" s="13"/>
      <c r="P14" s="13"/>
    </row>
    <row r="15" spans="1:17" x14ac:dyDescent="0.25">
      <c r="B15" s="7" t="s">
        <v>291</v>
      </c>
      <c r="E15" s="8">
        <v>106730</v>
      </c>
      <c r="F15" s="78">
        <v>2573.15</v>
      </c>
      <c r="G15" s="14">
        <v>0</v>
      </c>
      <c r="H15" s="14">
        <v>0</v>
      </c>
      <c r="I15" s="14"/>
      <c r="J15" s="72">
        <f>SUM(E15:H15)</f>
        <v>109303.15</v>
      </c>
      <c r="K15" s="13"/>
      <c r="L15" s="13"/>
      <c r="M15" s="13"/>
      <c r="N15" s="13"/>
      <c r="O15" s="13"/>
      <c r="P15" s="13"/>
    </row>
    <row r="16" spans="1:17" x14ac:dyDescent="0.25">
      <c r="B16" s="7" t="s">
        <v>264</v>
      </c>
      <c r="E16" s="8">
        <v>18277</v>
      </c>
      <c r="F16" s="78">
        <v>603.05999999999995</v>
      </c>
      <c r="G16" s="14">
        <v>0</v>
      </c>
      <c r="H16" s="14">
        <v>0</v>
      </c>
      <c r="I16" s="14"/>
      <c r="J16" s="72">
        <f t="shared" ref="J16:J20" si="0">SUM(E16:H16)</f>
        <v>18880.060000000001</v>
      </c>
      <c r="K16" s="13"/>
      <c r="L16" s="13"/>
      <c r="M16" s="13"/>
      <c r="N16" s="13"/>
      <c r="O16" s="13"/>
      <c r="P16" s="13"/>
    </row>
    <row r="17" spans="2:16" x14ac:dyDescent="0.25">
      <c r="B17" s="7" t="s">
        <v>292</v>
      </c>
      <c r="E17" s="8">
        <v>2251</v>
      </c>
      <c r="F17" s="78" t="s">
        <v>282</v>
      </c>
      <c r="G17" s="14">
        <v>0</v>
      </c>
      <c r="H17" s="14">
        <v>0</v>
      </c>
      <c r="I17" s="14"/>
      <c r="J17" s="72">
        <f t="shared" si="0"/>
        <v>2251</v>
      </c>
      <c r="K17" s="13"/>
      <c r="L17" s="13"/>
      <c r="M17" s="13"/>
      <c r="N17" s="13"/>
      <c r="O17" s="13"/>
      <c r="P17" s="13"/>
    </row>
    <row r="18" spans="2:16" x14ac:dyDescent="0.25">
      <c r="B18" s="7" t="s">
        <v>265</v>
      </c>
      <c r="E18" t="s">
        <v>282</v>
      </c>
      <c r="F18" s="78">
        <v>87.71</v>
      </c>
      <c r="G18" s="14">
        <v>0</v>
      </c>
      <c r="H18" s="14">
        <v>0</v>
      </c>
      <c r="I18" s="14"/>
      <c r="J18" s="72">
        <f t="shared" si="0"/>
        <v>87.71</v>
      </c>
      <c r="K18" s="13"/>
      <c r="L18" s="13"/>
      <c r="M18" s="13"/>
      <c r="N18" s="13"/>
      <c r="O18" s="13"/>
      <c r="P18" s="13"/>
    </row>
    <row r="19" spans="2:16" x14ac:dyDescent="0.25">
      <c r="B19" s="7" t="s">
        <v>301</v>
      </c>
      <c r="E19" s="8">
        <v>5892</v>
      </c>
      <c r="F19" s="78">
        <v>124.94</v>
      </c>
      <c r="G19" s="14">
        <v>0</v>
      </c>
      <c r="H19" s="14">
        <v>0</v>
      </c>
      <c r="I19" s="14"/>
      <c r="J19" s="72">
        <f t="shared" si="0"/>
        <v>6016.94</v>
      </c>
      <c r="K19" s="13"/>
      <c r="L19" s="13"/>
      <c r="M19" s="13"/>
      <c r="N19" s="13"/>
      <c r="O19" s="13"/>
      <c r="P19" s="13"/>
    </row>
    <row r="20" spans="2:16" x14ac:dyDescent="0.25">
      <c r="B20" s="10" t="s">
        <v>87</v>
      </c>
      <c r="C20" s="9"/>
      <c r="D20" s="10"/>
      <c r="E20" s="30">
        <f>SUM(E14:E19)</f>
        <v>139660</v>
      </c>
      <c r="F20" s="83">
        <f t="shared" ref="F20" si="1">SUM(F14:F19)</f>
        <v>3935.1000000000004</v>
      </c>
      <c r="G20" s="81"/>
      <c r="H20" s="81" t="s">
        <v>42</v>
      </c>
      <c r="I20" s="81"/>
      <c r="J20" s="235">
        <f t="shared" si="0"/>
        <v>143595.1</v>
      </c>
      <c r="K20" s="13"/>
      <c r="L20" s="13"/>
      <c r="M20" s="13"/>
      <c r="N20" s="13"/>
      <c r="O20" s="13"/>
      <c r="P20" s="13"/>
    </row>
    <row r="21" spans="2:16" x14ac:dyDescent="0.25">
      <c r="B21" s="7"/>
      <c r="F21" s="78"/>
      <c r="G21" s="14"/>
      <c r="H21" s="14"/>
      <c r="I21" s="14"/>
      <c r="J21" s="72"/>
      <c r="K21" s="13"/>
      <c r="L21" s="13"/>
      <c r="M21" s="13"/>
      <c r="N21" s="13"/>
      <c r="O21" s="13"/>
      <c r="P21" s="13"/>
    </row>
    <row r="22" spans="2:16" x14ac:dyDescent="0.25">
      <c r="B22" s="7" t="s">
        <v>302</v>
      </c>
      <c r="F22" s="78"/>
      <c r="G22" s="14"/>
      <c r="H22" s="14"/>
      <c r="I22" s="14"/>
      <c r="J22" s="72"/>
      <c r="K22" s="13"/>
      <c r="L22" s="13"/>
      <c r="M22" s="13"/>
      <c r="N22" s="13"/>
      <c r="O22" s="13"/>
      <c r="P22" s="13"/>
    </row>
    <row r="23" spans="2:16" x14ac:dyDescent="0.25">
      <c r="B23" s="7" t="s">
        <v>268</v>
      </c>
      <c r="E23" s="8">
        <v>18356</v>
      </c>
      <c r="F23" s="78">
        <v>1047.01</v>
      </c>
      <c r="G23" s="14">
        <f>'Merger Model'!$K$50</f>
        <v>104.70050000000001</v>
      </c>
      <c r="H23" s="14">
        <v>0</v>
      </c>
      <c r="I23" s="14"/>
      <c r="J23" s="72">
        <f>SUM(E23:H23)</f>
        <v>19507.710499999997</v>
      </c>
      <c r="K23" s="13"/>
      <c r="L23" s="13"/>
      <c r="M23" s="13"/>
      <c r="N23" s="13"/>
      <c r="O23" s="13"/>
      <c r="P23" s="13"/>
    </row>
    <row r="24" spans="2:16" x14ac:dyDescent="0.25">
      <c r="B24" s="7" t="s">
        <v>90</v>
      </c>
      <c r="E24" s="8">
        <v>17872</v>
      </c>
      <c r="F24" s="78">
        <v>1507.09</v>
      </c>
      <c r="G24" s="14">
        <f>'Merger Model'!$F$58</f>
        <v>15725.631670000002</v>
      </c>
      <c r="H24" s="14"/>
      <c r="I24" s="14"/>
      <c r="J24" s="72">
        <f t="shared" ref="J24:J27" si="2">SUM(E24:H24)</f>
        <v>35104.721669999999</v>
      </c>
      <c r="K24" s="13"/>
      <c r="L24" s="13"/>
      <c r="M24" s="13"/>
      <c r="N24" s="13"/>
      <c r="O24" s="13"/>
      <c r="P24" s="13"/>
    </row>
    <row r="25" spans="2:16" x14ac:dyDescent="0.25">
      <c r="B25" s="7" t="s">
        <v>269</v>
      </c>
      <c r="E25" s="8">
        <v>3733</v>
      </c>
      <c r="F25" s="78">
        <v>373.09</v>
      </c>
      <c r="G25" s="14">
        <v>7887</v>
      </c>
      <c r="H25" s="14">
        <v>0</v>
      </c>
      <c r="I25" s="14"/>
      <c r="J25" s="72">
        <f t="shared" si="2"/>
        <v>11993.09</v>
      </c>
      <c r="K25" s="13"/>
      <c r="L25" s="13"/>
      <c r="M25" s="13"/>
      <c r="N25" s="13"/>
      <c r="O25" s="13"/>
      <c r="P25" s="13"/>
    </row>
    <row r="26" spans="2:16" x14ac:dyDescent="0.25">
      <c r="B26" s="7" t="s">
        <v>89</v>
      </c>
      <c r="E26" s="8">
        <v>10431</v>
      </c>
      <c r="F26" s="78" t="s">
        <v>282</v>
      </c>
      <c r="G26" s="14">
        <v>0</v>
      </c>
      <c r="H26" s="14">
        <v>0</v>
      </c>
      <c r="I26" s="14"/>
      <c r="J26" s="72">
        <f t="shared" si="2"/>
        <v>10431</v>
      </c>
      <c r="K26" s="13"/>
      <c r="L26" s="13"/>
      <c r="M26" s="13"/>
      <c r="N26" s="13"/>
      <c r="O26" s="13"/>
      <c r="P26" s="13"/>
    </row>
    <row r="27" spans="2:16" x14ac:dyDescent="0.25">
      <c r="B27" s="71" t="s">
        <v>303</v>
      </c>
      <c r="C27" s="13"/>
      <c r="D27" s="13"/>
      <c r="E27" s="29">
        <v>3642</v>
      </c>
      <c r="F27" s="78">
        <v>148.93</v>
      </c>
      <c r="G27" s="14">
        <v>0</v>
      </c>
      <c r="H27" s="14">
        <v>0</v>
      </c>
      <c r="I27" s="14"/>
      <c r="J27" s="72">
        <f t="shared" si="2"/>
        <v>3790.93</v>
      </c>
      <c r="K27" s="13"/>
      <c r="L27" s="13"/>
      <c r="M27" s="13"/>
      <c r="N27" s="13"/>
      <c r="O27" s="13"/>
      <c r="P27" s="13"/>
    </row>
    <row r="28" spans="2:16" s="7" customFormat="1" ht="15.75" thickBot="1" x14ac:dyDescent="0.3">
      <c r="B28" s="286" t="s">
        <v>93</v>
      </c>
      <c r="C28" s="287"/>
      <c r="D28" s="287"/>
      <c r="E28" s="288">
        <f>SUM(E20:E27)</f>
        <v>193694</v>
      </c>
      <c r="F28" s="289">
        <f>SUM(F20:F27)</f>
        <v>7011.2200000000012</v>
      </c>
      <c r="G28" s="290">
        <v>0</v>
      </c>
      <c r="H28" s="290">
        <v>0</v>
      </c>
      <c r="I28" s="290"/>
      <c r="J28" s="290">
        <f>SUM(E28:H28)</f>
        <v>200705.22</v>
      </c>
      <c r="K28" s="13"/>
      <c r="L28" s="13"/>
      <c r="M28" s="13"/>
      <c r="N28" s="13"/>
      <c r="O28" s="13"/>
      <c r="P28" s="13"/>
    </row>
    <row r="29" spans="2:16" ht="15.75" thickTop="1" x14ac:dyDescent="0.25">
      <c r="B29" s="79" t="s">
        <v>42</v>
      </c>
      <c r="F29" s="78"/>
      <c r="G29" s="14"/>
      <c r="H29" s="14"/>
      <c r="I29" s="14"/>
      <c r="J29" s="72"/>
      <c r="K29" s="13"/>
      <c r="L29" s="13"/>
      <c r="M29" s="13"/>
      <c r="N29" s="13"/>
      <c r="O29" s="13"/>
      <c r="P29" s="13"/>
    </row>
    <row r="30" spans="2:16" x14ac:dyDescent="0.25">
      <c r="B30" s="6" t="s">
        <v>304</v>
      </c>
      <c r="F30" s="78"/>
      <c r="G30" s="14"/>
      <c r="H30" s="14"/>
      <c r="I30" s="14"/>
      <c r="J30" s="72"/>
      <c r="K30" s="13"/>
      <c r="L30" s="13"/>
      <c r="M30" s="13"/>
      <c r="N30" s="13"/>
      <c r="O30" s="13"/>
      <c r="P30" s="13"/>
    </row>
    <row r="31" spans="2:16" x14ac:dyDescent="0.25">
      <c r="B31" s="6" t="s">
        <v>305</v>
      </c>
      <c r="F31" s="78"/>
      <c r="G31" s="14"/>
      <c r="H31" s="14"/>
      <c r="I31" s="14"/>
      <c r="J31" s="72"/>
      <c r="K31" s="13"/>
      <c r="L31" s="13"/>
      <c r="M31" s="13"/>
      <c r="N31" s="13"/>
      <c r="O31" s="13"/>
      <c r="P31" s="13"/>
    </row>
    <row r="32" spans="2:16" x14ac:dyDescent="0.25">
      <c r="B32" s="7" t="s">
        <v>306</v>
      </c>
      <c r="E32" s="8">
        <v>6898</v>
      </c>
      <c r="F32" s="78">
        <v>162.18</v>
      </c>
      <c r="G32" s="14">
        <v>0</v>
      </c>
      <c r="H32" s="14">
        <v>0</v>
      </c>
      <c r="I32" s="14"/>
      <c r="J32" s="72">
        <f>SUM(E32:H32)</f>
        <v>7060.18</v>
      </c>
      <c r="K32" s="13"/>
      <c r="L32" s="13"/>
      <c r="M32" s="13"/>
      <c r="N32" s="13"/>
      <c r="O32" s="13"/>
      <c r="P32" s="13"/>
    </row>
    <row r="33" spans="2:16" x14ac:dyDescent="0.25">
      <c r="B33" s="7" t="s">
        <v>307</v>
      </c>
      <c r="E33" s="8">
        <v>12904</v>
      </c>
      <c r="F33" s="78" t="s">
        <v>282</v>
      </c>
      <c r="G33" s="14">
        <v>0</v>
      </c>
      <c r="H33" s="14">
        <v>0</v>
      </c>
      <c r="I33" s="14"/>
      <c r="J33" s="72">
        <f t="shared" ref="J33:J40" si="3">SUM(E33:H33)</f>
        <v>12904</v>
      </c>
      <c r="K33" s="13"/>
      <c r="L33" s="13"/>
      <c r="M33" s="13"/>
      <c r="N33" s="13"/>
      <c r="O33" s="13"/>
      <c r="P33" s="13"/>
    </row>
    <row r="34" spans="2:16" x14ac:dyDescent="0.25">
      <c r="B34" s="7" t="s">
        <v>99</v>
      </c>
      <c r="E34" s="8">
        <v>5264</v>
      </c>
      <c r="F34" s="78" t="s">
        <v>282</v>
      </c>
      <c r="G34" s="14">
        <v>0</v>
      </c>
      <c r="H34" s="14">
        <v>0</v>
      </c>
      <c r="I34" s="14"/>
      <c r="J34" s="72">
        <f t="shared" si="3"/>
        <v>5264</v>
      </c>
      <c r="K34" s="13"/>
      <c r="L34" s="13"/>
      <c r="M34" s="13"/>
      <c r="N34" s="13"/>
      <c r="O34" s="13"/>
      <c r="P34" s="13"/>
    </row>
    <row r="35" spans="2:16" x14ac:dyDescent="0.25">
      <c r="B35" s="7" t="s">
        <v>275</v>
      </c>
      <c r="E35" t="s">
        <v>282</v>
      </c>
      <c r="F35" s="78">
        <v>316.79000000000002</v>
      </c>
      <c r="G35" s="14">
        <v>0</v>
      </c>
      <c r="H35" s="14">
        <v>0</v>
      </c>
      <c r="I35" s="14"/>
      <c r="J35" s="72">
        <f t="shared" si="3"/>
        <v>316.79000000000002</v>
      </c>
      <c r="K35" s="13"/>
      <c r="L35" s="13"/>
      <c r="M35" s="13"/>
      <c r="N35" s="13"/>
      <c r="O35" s="13"/>
      <c r="P35" s="13"/>
    </row>
    <row r="36" spans="2:16" x14ac:dyDescent="0.25">
      <c r="B36" s="7" t="s">
        <v>100</v>
      </c>
      <c r="E36">
        <v>580</v>
      </c>
      <c r="F36" s="78" t="s">
        <v>282</v>
      </c>
      <c r="G36" s="14">
        <v>0</v>
      </c>
      <c r="H36" s="14">
        <v>0</v>
      </c>
      <c r="I36" s="14"/>
      <c r="J36" s="72">
        <f t="shared" si="3"/>
        <v>580</v>
      </c>
      <c r="K36" s="13"/>
      <c r="L36" s="13"/>
      <c r="M36" s="13"/>
      <c r="N36" s="13"/>
      <c r="O36" s="13"/>
      <c r="P36" s="13"/>
    </row>
    <row r="37" spans="2:16" x14ac:dyDescent="0.25">
      <c r="B37" s="7" t="s">
        <v>293</v>
      </c>
      <c r="E37" s="8">
        <v>27468</v>
      </c>
      <c r="F37" s="78" t="s">
        <v>282</v>
      </c>
      <c r="G37" s="14">
        <v>0</v>
      </c>
      <c r="H37" s="14">
        <v>0</v>
      </c>
      <c r="I37" s="14"/>
      <c r="J37" s="72">
        <f t="shared" si="3"/>
        <v>27468</v>
      </c>
      <c r="K37" s="13"/>
      <c r="L37" s="13"/>
      <c r="M37" s="13"/>
      <c r="N37" s="13"/>
      <c r="O37" s="13"/>
      <c r="P37" s="13"/>
    </row>
    <row r="38" spans="2:16" x14ac:dyDescent="0.25">
      <c r="B38" s="7" t="s">
        <v>102</v>
      </c>
      <c r="E38">
        <v>294</v>
      </c>
      <c r="F38" s="78" t="s">
        <v>282</v>
      </c>
      <c r="G38" s="14">
        <v>0</v>
      </c>
      <c r="H38" s="14">
        <v>0</v>
      </c>
      <c r="I38" s="14"/>
      <c r="J38" s="72">
        <f t="shared" si="3"/>
        <v>294</v>
      </c>
      <c r="K38" s="13"/>
      <c r="L38" s="13"/>
      <c r="M38" s="13"/>
      <c r="N38" s="13"/>
      <c r="O38" s="13"/>
      <c r="P38" s="13"/>
    </row>
    <row r="39" spans="2:16" x14ac:dyDescent="0.25">
      <c r="B39" s="7" t="s">
        <v>86</v>
      </c>
      <c r="E39" s="8">
        <v>5949</v>
      </c>
      <c r="F39" s="78" t="s">
        <v>282</v>
      </c>
      <c r="G39" s="14">
        <v>0</v>
      </c>
      <c r="H39" s="14">
        <v>0</v>
      </c>
      <c r="I39" s="14"/>
      <c r="J39" s="72">
        <f t="shared" si="3"/>
        <v>5949</v>
      </c>
      <c r="K39" s="13"/>
      <c r="L39" s="13"/>
      <c r="M39" s="13"/>
      <c r="N39" s="13"/>
      <c r="O39" s="13"/>
      <c r="P39" s="13"/>
    </row>
    <row r="40" spans="2:16" x14ac:dyDescent="0.25">
      <c r="B40" s="7" t="s">
        <v>276</v>
      </c>
      <c r="E40" t="s">
        <v>282</v>
      </c>
      <c r="F40" s="78">
        <v>709.12</v>
      </c>
      <c r="G40" s="14">
        <v>0</v>
      </c>
      <c r="H40" s="14">
        <v>0</v>
      </c>
      <c r="I40" s="14"/>
      <c r="J40" s="72">
        <f t="shared" si="3"/>
        <v>709.12</v>
      </c>
      <c r="K40" s="13"/>
      <c r="L40" s="13"/>
      <c r="M40" s="13"/>
      <c r="N40" s="13"/>
      <c r="O40" s="13"/>
      <c r="P40" s="13"/>
    </row>
    <row r="41" spans="2:16" x14ac:dyDescent="0.25">
      <c r="B41" s="10" t="s">
        <v>308</v>
      </c>
      <c r="C41" s="10"/>
      <c r="D41" s="10"/>
      <c r="E41" s="30">
        <f>SUM(E32:E40)</f>
        <v>59357</v>
      </c>
      <c r="F41" s="83">
        <f t="shared" ref="F41" si="4">SUM(F32:F40)</f>
        <v>1188.0900000000001</v>
      </c>
      <c r="G41" s="80">
        <v>0</v>
      </c>
      <c r="H41" s="81">
        <v>0</v>
      </c>
      <c r="I41" s="81"/>
      <c r="J41" s="81">
        <f>SUM(E41:H41)</f>
        <v>60545.09</v>
      </c>
      <c r="K41" s="13"/>
      <c r="L41" s="13"/>
      <c r="M41" s="13"/>
      <c r="N41" s="13"/>
      <c r="O41" s="13"/>
      <c r="P41" s="13"/>
    </row>
    <row r="42" spans="2:16" x14ac:dyDescent="0.25">
      <c r="B42" s="23"/>
      <c r="F42" s="78"/>
      <c r="G42" s="14"/>
      <c r="H42" s="14"/>
      <c r="I42" s="14"/>
      <c r="J42" s="72"/>
      <c r="K42" s="13"/>
      <c r="L42" s="13"/>
      <c r="M42" s="13"/>
      <c r="N42" s="13"/>
      <c r="O42" s="13"/>
      <c r="P42" s="13"/>
    </row>
    <row r="43" spans="2:16" x14ac:dyDescent="0.25">
      <c r="B43" s="6" t="s">
        <v>309</v>
      </c>
      <c r="F43" s="78"/>
      <c r="G43" s="14"/>
      <c r="H43" s="14"/>
      <c r="I43" s="14"/>
      <c r="J43" s="72"/>
      <c r="K43" s="13"/>
      <c r="L43" s="13"/>
      <c r="M43" s="13"/>
      <c r="N43" s="13"/>
      <c r="O43" s="13"/>
      <c r="P43" s="13"/>
    </row>
    <row r="44" spans="2:16" s="7" customFormat="1" x14ac:dyDescent="0.25">
      <c r="B44" s="6" t="s">
        <v>314</v>
      </c>
      <c r="E44" s="31">
        <v>0</v>
      </c>
      <c r="F44" s="82">
        <v>0</v>
      </c>
      <c r="G44" s="14"/>
      <c r="H44" s="14">
        <f>'Merger Model'!N14</f>
        <v>25288.704000000002</v>
      </c>
      <c r="I44" s="14"/>
      <c r="J44" s="72">
        <f>SUM(E44:H44)</f>
        <v>25288.704000000002</v>
      </c>
      <c r="K44" s="13"/>
      <c r="L44" s="13"/>
      <c r="M44" s="13"/>
      <c r="N44" s="13"/>
      <c r="O44" s="13"/>
      <c r="P44" s="13"/>
    </row>
    <row r="45" spans="2:16" x14ac:dyDescent="0.25">
      <c r="B45" s="7" t="s">
        <v>294</v>
      </c>
      <c r="E45" s="8">
        <v>40783</v>
      </c>
      <c r="F45" s="78">
        <v>1126.53</v>
      </c>
      <c r="G45" s="14">
        <f>-F45</f>
        <v>-1126.53</v>
      </c>
      <c r="H45" s="14">
        <f>'Merger Model'!F57</f>
        <v>2717.1781700000001</v>
      </c>
      <c r="I45" s="14"/>
      <c r="J45" s="72">
        <f>SUM(E45:H45)</f>
        <v>43500.178169999999</v>
      </c>
      <c r="K45" s="13"/>
      <c r="L45" s="13"/>
      <c r="M45" s="13"/>
      <c r="N45" s="13"/>
      <c r="O45" s="13"/>
      <c r="P45" s="13"/>
    </row>
    <row r="46" spans="2:16" x14ac:dyDescent="0.25">
      <c r="B46" s="7" t="s">
        <v>295</v>
      </c>
      <c r="E46" s="8">
        <v>6441</v>
      </c>
      <c r="F46" s="78" t="s">
        <v>282</v>
      </c>
      <c r="G46" s="14">
        <v>0</v>
      </c>
      <c r="H46" s="14">
        <v>0</v>
      </c>
      <c r="I46" s="14"/>
      <c r="J46" s="72">
        <f t="shared" ref="J46:J49" si="5">SUM(E46:H46)</f>
        <v>6441</v>
      </c>
      <c r="K46" s="13"/>
      <c r="L46" s="13"/>
      <c r="M46" s="13"/>
      <c r="N46" s="13"/>
      <c r="O46" s="13"/>
      <c r="P46" s="13"/>
    </row>
    <row r="47" spans="2:16" x14ac:dyDescent="0.25">
      <c r="B47" s="7" t="s">
        <v>107</v>
      </c>
      <c r="E47" s="8">
        <v>1476</v>
      </c>
      <c r="F47" s="78" t="s">
        <v>282</v>
      </c>
      <c r="G47" s="14">
        <v>0</v>
      </c>
      <c r="H47" s="14">
        <f>'Merger Model'!F57</f>
        <v>2717.1781700000001</v>
      </c>
      <c r="I47" s="14"/>
      <c r="J47" s="72">
        <f t="shared" si="5"/>
        <v>4193.1781700000001</v>
      </c>
      <c r="K47" s="13"/>
      <c r="L47" s="13"/>
      <c r="M47" s="13"/>
      <c r="N47" s="13"/>
      <c r="O47" s="13"/>
      <c r="P47" s="13"/>
    </row>
    <row r="48" spans="2:16" x14ac:dyDescent="0.25">
      <c r="B48" s="7" t="s">
        <v>296</v>
      </c>
      <c r="E48" s="8">
        <v>13640</v>
      </c>
      <c r="F48" s="78">
        <v>201.13</v>
      </c>
      <c r="G48" s="14" t="s">
        <v>42</v>
      </c>
      <c r="H48" s="14">
        <v>0</v>
      </c>
      <c r="I48" s="14"/>
      <c r="J48" s="72">
        <f t="shared" si="5"/>
        <v>13841.13</v>
      </c>
      <c r="K48" s="13"/>
      <c r="L48" s="13"/>
      <c r="M48" s="13"/>
      <c r="N48" s="13"/>
      <c r="O48" s="13"/>
      <c r="P48" s="13"/>
    </row>
    <row r="49" spans="2:16" x14ac:dyDescent="0.25">
      <c r="B49" s="10" t="s">
        <v>310</v>
      </c>
      <c r="C49" s="10"/>
      <c r="D49" s="10"/>
      <c r="E49" s="30">
        <f>SUM(E41:E48)</f>
        <v>121697</v>
      </c>
      <c r="F49" s="83">
        <f t="shared" ref="F49" si="6">SUM(F41:F48)</f>
        <v>2515.75</v>
      </c>
      <c r="G49" s="80"/>
      <c r="H49" s="80"/>
      <c r="I49" s="80"/>
      <c r="J49" s="81">
        <f t="shared" si="5"/>
        <v>124212.75</v>
      </c>
      <c r="K49" s="13"/>
      <c r="L49" s="13"/>
      <c r="M49" s="13"/>
      <c r="N49" s="13"/>
      <c r="O49" s="13"/>
      <c r="P49" s="13"/>
    </row>
    <row r="50" spans="2:16" x14ac:dyDescent="0.25">
      <c r="B50" s="23"/>
      <c r="F50" s="78"/>
      <c r="G50" s="14"/>
      <c r="H50" s="14"/>
      <c r="I50" s="14"/>
      <c r="J50" s="72"/>
      <c r="K50" s="13"/>
      <c r="L50" s="13"/>
      <c r="M50" s="13"/>
      <c r="N50" s="13"/>
      <c r="O50" s="13"/>
      <c r="P50" s="13"/>
    </row>
    <row r="51" spans="2:16" x14ac:dyDescent="0.25">
      <c r="B51" s="23" t="s">
        <v>204</v>
      </c>
      <c r="F51" s="78"/>
      <c r="G51" s="14"/>
      <c r="H51" s="14"/>
      <c r="I51" s="14"/>
      <c r="J51" s="72"/>
      <c r="K51" s="13"/>
      <c r="L51" s="13"/>
      <c r="M51" s="13"/>
      <c r="N51" s="13"/>
      <c r="O51" s="13"/>
      <c r="P51" s="13"/>
    </row>
    <row r="52" spans="2:16" x14ac:dyDescent="0.25">
      <c r="B52" s="76" t="s">
        <v>311</v>
      </c>
      <c r="E52" s="8">
        <v>71997</v>
      </c>
      <c r="F52" s="78">
        <v>4495.45</v>
      </c>
      <c r="G52" s="14">
        <f>F52-'Merger Model'!I46+'[1]Combined Balancesheet'!$G$52</f>
        <v>-133.22980024769913</v>
      </c>
      <c r="H52" s="14">
        <v>0</v>
      </c>
      <c r="I52" s="14"/>
      <c r="J52" s="72">
        <f>SUM(E52:H52)</f>
        <v>76359.220199752293</v>
      </c>
      <c r="K52" s="13"/>
      <c r="L52" s="13"/>
      <c r="M52" s="13"/>
      <c r="N52" s="13"/>
      <c r="O52" s="13"/>
      <c r="P52" s="13"/>
    </row>
    <row r="53" spans="2:16" x14ac:dyDescent="0.25">
      <c r="B53" s="7"/>
      <c r="F53" s="78"/>
      <c r="G53" s="14">
        <v>0</v>
      </c>
      <c r="H53" s="14">
        <v>0</v>
      </c>
      <c r="I53" s="14"/>
      <c r="J53" s="72"/>
      <c r="K53" s="13"/>
      <c r="L53" s="13"/>
      <c r="M53" s="13"/>
      <c r="N53" s="13"/>
      <c r="O53" s="13"/>
      <c r="P53" s="13"/>
    </row>
    <row r="54" spans="2:16" ht="15.75" thickBot="1" x14ac:dyDescent="0.3">
      <c r="B54" s="291" t="s">
        <v>312</v>
      </c>
      <c r="C54" s="287"/>
      <c r="D54" s="287"/>
      <c r="E54" s="288">
        <f>E52+E49</f>
        <v>193694</v>
      </c>
      <c r="F54" s="289">
        <f t="shared" ref="F54" si="7">F52+F49</f>
        <v>7011.2</v>
      </c>
      <c r="G54" s="292"/>
      <c r="H54" s="292"/>
      <c r="I54" s="292"/>
      <c r="J54" s="290">
        <f>SUM(E54:H54)</f>
        <v>200705.2</v>
      </c>
      <c r="K54" s="13"/>
      <c r="L54" s="13"/>
      <c r="M54" s="13"/>
      <c r="N54" s="13"/>
      <c r="O54" s="13"/>
      <c r="P54" s="13"/>
    </row>
    <row r="55" spans="2:16" ht="15.75" thickTop="1" x14ac:dyDescent="0.25">
      <c r="B55" t="s">
        <v>117</v>
      </c>
      <c r="E55" s="31">
        <f>E28-E54</f>
        <v>0</v>
      </c>
      <c r="F55" s="31">
        <v>0</v>
      </c>
      <c r="G55" s="31">
        <f t="shared" ref="G55:I55" si="8">G28-G54</f>
        <v>0</v>
      </c>
      <c r="H55" s="31">
        <f t="shared" si="8"/>
        <v>0</v>
      </c>
      <c r="I55" s="31">
        <f t="shared" si="8"/>
        <v>0</v>
      </c>
      <c r="J55" s="31">
        <v>0</v>
      </c>
    </row>
    <row r="58" spans="2:16" s="116" customForma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Que of the assignment</vt:lpstr>
      <vt:lpstr>Introduction</vt:lpstr>
      <vt:lpstr>Synergies</vt:lpstr>
      <vt:lpstr>Microsoft  acquirer</vt:lpstr>
      <vt:lpstr>Linked in Target</vt:lpstr>
      <vt:lpstr>Merger Model</vt:lpstr>
      <vt:lpstr>Combine 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Sudarshan</dc:creator>
  <cp:lastModifiedBy>Sudarshan</cp:lastModifiedBy>
  <cp:lastPrinted>2025-09-28T06:44:54Z</cp:lastPrinted>
  <dcterms:created xsi:type="dcterms:W3CDTF">2025-09-26T10:45:27Z</dcterms:created>
  <dcterms:modified xsi:type="dcterms:W3CDTF">2025-10-05T09:49:21Z</dcterms:modified>
</cp:coreProperties>
</file>